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43\02. tasma ho2\09. Purchasing\1.LOCAL D FILE DEVIA\MY FILE DEVIA\MARGIN VM\"/>
    </mc:Choice>
  </mc:AlternateContent>
  <xr:revisionPtr revIDLastSave="0" documentId="13_ncr:1_{84911D06-41B0-459D-ABA7-7D5E20F91264}" xr6:coauthVersionLast="47" xr6:coauthVersionMax="47" xr10:uidLastSave="{00000000-0000-0000-0000-000000000000}"/>
  <bookViews>
    <workbookView xWindow="-120" yWindow="-120" windowWidth="24240" windowHeight="13140" tabRatio="583" xr2:uid="{00000000-000D-0000-FFFF-FFFF00000000}"/>
  </bookViews>
  <sheets>
    <sheet name="UPDATE HARGA TERBARU FOR 2026" sheetId="7" r:id="rId1"/>
    <sheet name="Sheet1" sheetId="5" state="hidden" r:id="rId2"/>
    <sheet name="Sheet2" sheetId="6" state="hidden" r:id="rId3"/>
    <sheet name="Setting Harga Produk" sheetId="3" state="hidden" r:id="rId4"/>
  </sheets>
  <definedNames>
    <definedName name="_xlnm._FilterDatabase" localSheetId="3" hidden="1">'Setting Harga Produk'!$A$1:$E$144</definedName>
    <definedName name="_xlnm._FilterDatabase" localSheetId="0" hidden="1">'UPDATE HARGA TERBARU FOR 2026'!$A$1:$AA$189</definedName>
    <definedName name="_xlnm.Print_Area" localSheetId="0">'UPDATE HARGA TERBARU FOR 2026'!$A$1:$AB$189</definedName>
  </definedNames>
  <calcPr calcId="191029"/>
</workbook>
</file>

<file path=xl/calcChain.xml><?xml version="1.0" encoding="utf-8"?>
<calcChain xmlns="http://schemas.openxmlformats.org/spreadsheetml/2006/main">
  <c r="O119" i="7" l="1"/>
  <c r="O97" i="7"/>
  <c r="O86" i="7"/>
  <c r="O64" i="7"/>
  <c r="O56" i="7"/>
  <c r="O140" i="7"/>
  <c r="O176" i="7"/>
  <c r="O177" i="7"/>
  <c r="O178" i="7"/>
  <c r="O179" i="7"/>
  <c r="O180" i="7"/>
  <c r="O181" i="7"/>
  <c r="O182" i="7"/>
  <c r="O183" i="7"/>
  <c r="Q167" i="7" l="1"/>
  <c r="O167" i="7"/>
  <c r="O166" i="7"/>
  <c r="O165" i="7"/>
  <c r="AA165" i="7"/>
  <c r="AA166" i="7"/>
  <c r="AA167" i="7"/>
  <c r="Y165" i="7"/>
  <c r="Y166" i="7"/>
  <c r="Y167" i="7"/>
  <c r="W165" i="7"/>
  <c r="W166" i="7"/>
  <c r="W167" i="7"/>
  <c r="U165" i="7"/>
  <c r="U166" i="7"/>
  <c r="U167" i="7"/>
  <c r="S165" i="7"/>
  <c r="S166" i="7"/>
  <c r="S167" i="7"/>
  <c r="Q165" i="7"/>
  <c r="Q166" i="7"/>
  <c r="Q175" i="7"/>
  <c r="AA174" i="7"/>
  <c r="Y174" i="7"/>
  <c r="W174" i="7"/>
  <c r="U174" i="7"/>
  <c r="S174" i="7"/>
  <c r="Q174" i="7"/>
  <c r="O174" i="7"/>
  <c r="Q173" i="7"/>
  <c r="Q172" i="7"/>
  <c r="AA175" i="7"/>
  <c r="Y175" i="7"/>
  <c r="W175" i="7"/>
  <c r="U175" i="7"/>
  <c r="S175" i="7"/>
  <c r="O175" i="7"/>
  <c r="AA173" i="7" l="1"/>
  <c r="AA172" i="7"/>
  <c r="Y173" i="7"/>
  <c r="Y172" i="7"/>
  <c r="W173" i="7"/>
  <c r="W172" i="7"/>
  <c r="U173" i="7"/>
  <c r="U172" i="7"/>
  <c r="S173" i="7"/>
  <c r="S172" i="7"/>
  <c r="O172" i="7"/>
  <c r="O173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O2" i="7"/>
  <c r="I22" i="7"/>
  <c r="K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2" i="7"/>
  <c r="U2" i="7"/>
  <c r="W2" i="7"/>
  <c r="Y2" i="7"/>
  <c r="AA2" i="7"/>
  <c r="W86" i="7"/>
  <c r="Q184" i="7"/>
  <c r="Q185" i="7"/>
  <c r="Q186" i="7"/>
  <c r="Q85" i="7"/>
  <c r="Q86" i="7"/>
  <c r="Q87" i="7"/>
  <c r="Q189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87" i="7"/>
  <c r="Q130" i="7"/>
  <c r="Q131" i="7"/>
  <c r="Q188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8" i="7"/>
  <c r="Q169" i="7"/>
  <c r="Q170" i="7"/>
  <c r="Q171" i="7"/>
  <c r="S184" i="7"/>
  <c r="S185" i="7"/>
  <c r="S186" i="7"/>
  <c r="S85" i="7"/>
  <c r="S86" i="7"/>
  <c r="S87" i="7"/>
  <c r="S189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87" i="7"/>
  <c r="S130" i="7"/>
  <c r="S131" i="7"/>
  <c r="S188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8" i="7"/>
  <c r="S169" i="7"/>
  <c r="S170" i="7"/>
  <c r="S171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184" i="7"/>
  <c r="U78" i="7"/>
  <c r="U79" i="7"/>
  <c r="U80" i="7"/>
  <c r="U185" i="7"/>
  <c r="U81" i="7"/>
  <c r="U82" i="7"/>
  <c r="U83" i="7"/>
  <c r="U84" i="7"/>
  <c r="U186" i="7"/>
  <c r="U85" i="7"/>
  <c r="U86" i="7"/>
  <c r="U87" i="7"/>
  <c r="U189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87" i="7"/>
  <c r="U130" i="7"/>
  <c r="U131" i="7"/>
  <c r="U188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8" i="7"/>
  <c r="U169" i="7"/>
  <c r="U170" i="7"/>
  <c r="U171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184" i="7"/>
  <c r="W78" i="7"/>
  <c r="W79" i="7"/>
  <c r="W80" i="7"/>
  <c r="W185" i="7"/>
  <c r="W81" i="7"/>
  <c r="W82" i="7"/>
  <c r="W83" i="7"/>
  <c r="W84" i="7"/>
  <c r="W186" i="7"/>
  <c r="W85" i="7"/>
  <c r="W87" i="7"/>
  <c r="W189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87" i="7"/>
  <c r="W130" i="7"/>
  <c r="W131" i="7"/>
  <c r="W188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8" i="7"/>
  <c r="W169" i="7"/>
  <c r="W170" i="7"/>
  <c r="W171" i="7"/>
  <c r="Y3" i="7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184" i="7"/>
  <c r="Y78" i="7"/>
  <c r="Y79" i="7"/>
  <c r="Y80" i="7"/>
  <c r="Y185" i="7"/>
  <c r="Y81" i="7"/>
  <c r="Y82" i="7"/>
  <c r="Y83" i="7"/>
  <c r="Y84" i="7"/>
  <c r="Y186" i="7"/>
  <c r="Y85" i="7"/>
  <c r="Y86" i="7"/>
  <c r="Y87" i="7"/>
  <c r="Y189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19" i="7"/>
  <c r="Y120" i="7"/>
  <c r="Y121" i="7"/>
  <c r="Y122" i="7"/>
  <c r="Y123" i="7"/>
  <c r="Y124" i="7"/>
  <c r="Y125" i="7"/>
  <c r="Y126" i="7"/>
  <c r="Y127" i="7"/>
  <c r="Y128" i="7"/>
  <c r="Y129" i="7"/>
  <c r="Y187" i="7"/>
  <c r="Y130" i="7"/>
  <c r="Y131" i="7"/>
  <c r="Y188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8" i="7"/>
  <c r="Y169" i="7"/>
  <c r="Y170" i="7"/>
  <c r="Y171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184" i="7"/>
  <c r="AA78" i="7"/>
  <c r="AA79" i="7"/>
  <c r="AA80" i="7"/>
  <c r="AA185" i="7"/>
  <c r="AA81" i="7"/>
  <c r="AA82" i="7"/>
  <c r="AA83" i="7"/>
  <c r="AA84" i="7"/>
  <c r="AA186" i="7"/>
  <c r="AA85" i="7"/>
  <c r="AA86" i="7"/>
  <c r="AA87" i="7"/>
  <c r="AA189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87" i="7"/>
  <c r="AA130" i="7"/>
  <c r="AA131" i="7"/>
  <c r="AA188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8" i="7"/>
  <c r="AA169" i="7"/>
  <c r="AA170" i="7"/>
  <c r="AA171" i="7"/>
  <c r="E144" i="3"/>
  <c r="D144" i="3"/>
  <c r="D143" i="3"/>
  <c r="E143" i="3" s="1"/>
  <c r="D142" i="3"/>
  <c r="E142" i="3" s="1"/>
  <c r="D141" i="3"/>
  <c r="E141" i="3" s="1"/>
  <c r="E140" i="3"/>
  <c r="D140" i="3"/>
  <c r="D139" i="3"/>
  <c r="E139" i="3" s="1"/>
  <c r="D138" i="3"/>
  <c r="E138" i="3" s="1"/>
  <c r="D137" i="3"/>
  <c r="E137" i="3" s="1"/>
  <c r="E136" i="3"/>
  <c r="D136" i="3"/>
  <c r="D135" i="3"/>
  <c r="E135" i="3" s="1"/>
  <c r="D134" i="3"/>
  <c r="E134" i="3" s="1"/>
  <c r="D133" i="3"/>
  <c r="E133" i="3" s="1"/>
  <c r="E132" i="3"/>
  <c r="D132" i="3"/>
  <c r="D131" i="3"/>
  <c r="E131" i="3" s="1"/>
  <c r="D130" i="3"/>
  <c r="E130" i="3" s="1"/>
  <c r="D129" i="3"/>
  <c r="E129" i="3" s="1"/>
  <c r="E128" i="3"/>
  <c r="D128" i="3"/>
  <c r="D127" i="3"/>
  <c r="E127" i="3" s="1"/>
  <c r="D126" i="3"/>
  <c r="E126" i="3" s="1"/>
  <c r="D125" i="3"/>
  <c r="E125" i="3" s="1"/>
  <c r="E124" i="3"/>
  <c r="D124" i="3"/>
  <c r="D123" i="3"/>
  <c r="E123" i="3" s="1"/>
  <c r="D122" i="3"/>
  <c r="E122" i="3" s="1"/>
  <c r="D121" i="3"/>
  <c r="E121" i="3" s="1"/>
  <c r="E120" i="3"/>
  <c r="D120" i="3"/>
  <c r="D119" i="3"/>
  <c r="E119" i="3" s="1"/>
  <c r="D118" i="3"/>
  <c r="E118" i="3" s="1"/>
  <c r="D117" i="3"/>
  <c r="E117" i="3" s="1"/>
  <c r="E116" i="3"/>
  <c r="D116" i="3"/>
  <c r="D115" i="3"/>
  <c r="E115" i="3" s="1"/>
  <c r="D114" i="3"/>
  <c r="E114" i="3" s="1"/>
  <c r="D113" i="3"/>
  <c r="E113" i="3" s="1"/>
  <c r="E112" i="3"/>
  <c r="D112" i="3"/>
  <c r="D111" i="3"/>
  <c r="E111" i="3" s="1"/>
  <c r="D110" i="3"/>
  <c r="E110" i="3" s="1"/>
  <c r="D109" i="3"/>
  <c r="E109" i="3" s="1"/>
  <c r="E108" i="3"/>
  <c r="D108" i="3"/>
  <c r="D107" i="3"/>
  <c r="D106" i="3"/>
  <c r="E106" i="3" s="1"/>
  <c r="D105" i="3"/>
  <c r="E105" i="3" s="1"/>
  <c r="D104" i="3"/>
  <c r="E104" i="3" s="1"/>
  <c r="D103" i="3"/>
  <c r="E103" i="3" s="1"/>
  <c r="D102" i="3"/>
  <c r="E102" i="3" s="1"/>
  <c r="D101" i="3"/>
  <c r="E101" i="3" s="1"/>
  <c r="D100" i="3"/>
  <c r="E100" i="3" s="1"/>
  <c r="D99" i="3"/>
  <c r="E99" i="3" s="1"/>
  <c r="D98" i="3"/>
  <c r="E98" i="3" s="1"/>
  <c r="D97" i="3"/>
  <c r="E97" i="3" s="1"/>
  <c r="D96" i="3"/>
  <c r="E96" i="3" s="1"/>
  <c r="D95" i="3"/>
  <c r="E95" i="3" s="1"/>
  <c r="D94" i="3"/>
  <c r="E94" i="3" s="1"/>
  <c r="D93" i="3"/>
  <c r="E93" i="3" s="1"/>
  <c r="D92" i="3"/>
  <c r="E92" i="3" s="1"/>
  <c r="D91" i="3"/>
  <c r="E91" i="3" s="1"/>
  <c r="D90" i="3"/>
  <c r="E90" i="3" s="1"/>
  <c r="D89" i="3"/>
  <c r="E89" i="3" s="1"/>
  <c r="D88" i="3"/>
  <c r="E88" i="3" s="1"/>
  <c r="D87" i="3"/>
  <c r="E87" i="3" s="1"/>
  <c r="D86" i="3"/>
  <c r="E86" i="3" s="1"/>
  <c r="D85" i="3"/>
  <c r="E85" i="3" s="1"/>
  <c r="D84" i="3"/>
  <c r="E84" i="3" s="1"/>
  <c r="D83" i="3"/>
  <c r="E83" i="3" s="1"/>
  <c r="D82" i="3"/>
  <c r="E82" i="3" s="1"/>
  <c r="D81" i="3"/>
  <c r="E81" i="3" s="1"/>
  <c r="D80" i="3"/>
  <c r="E80" i="3" s="1"/>
  <c r="D79" i="3"/>
  <c r="E79" i="3" s="1"/>
  <c r="D78" i="3"/>
  <c r="E78" i="3" s="1"/>
  <c r="D77" i="3"/>
  <c r="E77" i="3" s="1"/>
  <c r="D76" i="3"/>
  <c r="E76" i="3" s="1"/>
  <c r="D75" i="3"/>
  <c r="E75" i="3" s="1"/>
  <c r="D74" i="3"/>
  <c r="E74" i="3" s="1"/>
  <c r="D73" i="3"/>
  <c r="E73" i="3" s="1"/>
  <c r="D72" i="3"/>
  <c r="E72" i="3" s="1"/>
  <c r="D71" i="3"/>
  <c r="E71" i="3" s="1"/>
  <c r="D70" i="3"/>
  <c r="E70" i="3" s="1"/>
  <c r="D69" i="3"/>
  <c r="E69" i="3" s="1"/>
  <c r="D68" i="3"/>
  <c r="E68" i="3" s="1"/>
  <c r="D67" i="3"/>
  <c r="E67" i="3" s="1"/>
  <c r="D66" i="3"/>
  <c r="E66" i="3" s="1"/>
  <c r="D65" i="3"/>
  <c r="E65" i="3" s="1"/>
  <c r="D64" i="3"/>
  <c r="E64" i="3" s="1"/>
  <c r="D63" i="3"/>
  <c r="E63" i="3" s="1"/>
  <c r="D62" i="3"/>
  <c r="E62" i="3" s="1"/>
  <c r="D61" i="3"/>
  <c r="E61" i="3" s="1"/>
  <c r="D60" i="3"/>
  <c r="E60" i="3" s="1"/>
  <c r="D59" i="3"/>
  <c r="E59" i="3" s="1"/>
  <c r="D58" i="3"/>
  <c r="E58" i="3" s="1"/>
  <c r="D57" i="3"/>
  <c r="E57" i="3" s="1"/>
  <c r="D56" i="3"/>
  <c r="E56" i="3" s="1"/>
  <c r="D55" i="3"/>
  <c r="E55" i="3" s="1"/>
  <c r="D54" i="3"/>
  <c r="E54" i="3" s="1"/>
  <c r="D53" i="3"/>
  <c r="E53" i="3" s="1"/>
  <c r="D52" i="3"/>
  <c r="E52" i="3" s="1"/>
  <c r="D51" i="3"/>
  <c r="E51" i="3" s="1"/>
  <c r="D50" i="3"/>
  <c r="E50" i="3" s="1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D43" i="3"/>
  <c r="E43" i="3" s="1"/>
  <c r="D42" i="3"/>
  <c r="E42" i="3" s="1"/>
  <c r="D41" i="3"/>
  <c r="E41" i="3" s="1"/>
  <c r="D40" i="3"/>
  <c r="E40" i="3" s="1"/>
  <c r="D39" i="3"/>
  <c r="E39" i="3" s="1"/>
  <c r="D38" i="3"/>
  <c r="E38" i="3" s="1"/>
  <c r="D37" i="3"/>
  <c r="E37" i="3" s="1"/>
  <c r="D36" i="3"/>
  <c r="E36" i="3" s="1"/>
  <c r="D35" i="3"/>
  <c r="E35" i="3" s="1"/>
  <c r="D34" i="3"/>
  <c r="E34" i="3" s="1"/>
  <c r="D33" i="3"/>
  <c r="E33" i="3" s="1"/>
  <c r="D32" i="3"/>
  <c r="E32" i="3" s="1"/>
  <c r="D31" i="3"/>
  <c r="E31" i="3" s="1"/>
  <c r="D30" i="3"/>
  <c r="E30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E4" i="3"/>
  <c r="D4" i="3"/>
  <c r="D3" i="3"/>
  <c r="E3" i="3" s="1"/>
  <c r="O171" i="7"/>
  <c r="O170" i="7"/>
  <c r="O169" i="7"/>
  <c r="O168" i="7"/>
  <c r="AB164" i="7"/>
  <c r="O164" i="7"/>
  <c r="AB163" i="7"/>
  <c r="O163" i="7"/>
  <c r="AB162" i="7"/>
  <c r="O162" i="7"/>
  <c r="AB161" i="7"/>
  <c r="O161" i="7"/>
  <c r="AB160" i="7"/>
  <c r="O160" i="7"/>
  <c r="AB159" i="7"/>
  <c r="O159" i="7"/>
  <c r="AB158" i="7"/>
  <c r="O158" i="7"/>
  <c r="AB157" i="7"/>
  <c r="O157" i="7"/>
  <c r="AB156" i="7"/>
  <c r="O156" i="7"/>
  <c r="AB155" i="7"/>
  <c r="O155" i="7"/>
  <c r="AB154" i="7"/>
  <c r="O154" i="7"/>
  <c r="AB153" i="7"/>
  <c r="O153" i="7"/>
  <c r="AB152" i="7"/>
  <c r="O152" i="7"/>
  <c r="AB151" i="7"/>
  <c r="O151" i="7"/>
  <c r="AB150" i="7"/>
  <c r="O150" i="7"/>
  <c r="AB149" i="7"/>
  <c r="O149" i="7"/>
  <c r="M149" i="7"/>
  <c r="K149" i="7"/>
  <c r="I149" i="7"/>
  <c r="G149" i="7"/>
  <c r="E149" i="7"/>
  <c r="AB148" i="7"/>
  <c r="O148" i="7"/>
  <c r="M148" i="7"/>
  <c r="K148" i="7"/>
  <c r="I148" i="7"/>
  <c r="G148" i="7"/>
  <c r="E148" i="7"/>
  <c r="AB147" i="7"/>
  <c r="O147" i="7"/>
  <c r="M147" i="7"/>
  <c r="K147" i="7"/>
  <c r="I147" i="7"/>
  <c r="G147" i="7"/>
  <c r="E147" i="7"/>
  <c r="AB146" i="7"/>
  <c r="O146" i="7"/>
  <c r="M146" i="7"/>
  <c r="K146" i="7"/>
  <c r="I146" i="7"/>
  <c r="G146" i="7"/>
  <c r="E146" i="7"/>
  <c r="AB145" i="7"/>
  <c r="O145" i="7"/>
  <c r="M145" i="7"/>
  <c r="K145" i="7"/>
  <c r="I145" i="7"/>
  <c r="G145" i="7"/>
  <c r="E145" i="7"/>
  <c r="AB144" i="7"/>
  <c r="O144" i="7"/>
  <c r="M144" i="7"/>
  <c r="K144" i="7"/>
  <c r="I144" i="7"/>
  <c r="G144" i="7"/>
  <c r="E144" i="7"/>
  <c r="AB143" i="7"/>
  <c r="O143" i="7"/>
  <c r="M143" i="7"/>
  <c r="K143" i="7"/>
  <c r="I143" i="7"/>
  <c r="G143" i="7"/>
  <c r="E143" i="7"/>
  <c r="AB142" i="7"/>
  <c r="O142" i="7"/>
  <c r="M142" i="7"/>
  <c r="K142" i="7"/>
  <c r="I142" i="7"/>
  <c r="G142" i="7"/>
  <c r="E142" i="7"/>
  <c r="AB141" i="7"/>
  <c r="M141" i="7"/>
  <c r="K141" i="7"/>
  <c r="I141" i="7"/>
  <c r="G141" i="7"/>
  <c r="E141" i="7"/>
  <c r="AB140" i="7"/>
  <c r="M140" i="7"/>
  <c r="K140" i="7"/>
  <c r="I140" i="7"/>
  <c r="G140" i="7"/>
  <c r="E140" i="7"/>
  <c r="AB139" i="7"/>
  <c r="O139" i="7"/>
  <c r="M139" i="7"/>
  <c r="K139" i="7"/>
  <c r="I139" i="7"/>
  <c r="G139" i="7"/>
  <c r="E139" i="7"/>
  <c r="AB138" i="7"/>
  <c r="O138" i="7"/>
  <c r="M138" i="7"/>
  <c r="K138" i="7"/>
  <c r="I138" i="7"/>
  <c r="G138" i="7"/>
  <c r="E138" i="7"/>
  <c r="AB137" i="7"/>
  <c r="O137" i="7"/>
  <c r="M137" i="7"/>
  <c r="K137" i="7"/>
  <c r="I137" i="7"/>
  <c r="G137" i="7"/>
  <c r="E137" i="7"/>
  <c r="AB136" i="7"/>
  <c r="O136" i="7"/>
  <c r="M136" i="7"/>
  <c r="K136" i="7"/>
  <c r="I136" i="7"/>
  <c r="G136" i="7"/>
  <c r="E136" i="7"/>
  <c r="AB135" i="7"/>
  <c r="O135" i="7"/>
  <c r="M135" i="7"/>
  <c r="K135" i="7"/>
  <c r="I135" i="7"/>
  <c r="G135" i="7"/>
  <c r="E135" i="7"/>
  <c r="AB134" i="7"/>
  <c r="O134" i="7"/>
  <c r="M134" i="7"/>
  <c r="K134" i="7"/>
  <c r="I134" i="7"/>
  <c r="G134" i="7"/>
  <c r="E134" i="7"/>
  <c r="AB133" i="7"/>
  <c r="O133" i="7"/>
  <c r="M133" i="7"/>
  <c r="K133" i="7"/>
  <c r="I133" i="7"/>
  <c r="G133" i="7"/>
  <c r="E133" i="7"/>
  <c r="AB132" i="7"/>
  <c r="O132" i="7"/>
  <c r="M132" i="7"/>
  <c r="K132" i="7"/>
  <c r="I132" i="7"/>
  <c r="G132" i="7"/>
  <c r="E132" i="7"/>
  <c r="AB188" i="7"/>
  <c r="O188" i="7"/>
  <c r="M188" i="7"/>
  <c r="K188" i="7"/>
  <c r="I188" i="7"/>
  <c r="G188" i="7"/>
  <c r="E188" i="7"/>
  <c r="AB131" i="7"/>
  <c r="O131" i="7"/>
  <c r="E131" i="7" s="1"/>
  <c r="M131" i="7"/>
  <c r="K131" i="7"/>
  <c r="I131" i="7"/>
  <c r="G131" i="7"/>
  <c r="AB130" i="7"/>
  <c r="O130" i="7"/>
  <c r="M130" i="7"/>
  <c r="K130" i="7"/>
  <c r="I130" i="7"/>
  <c r="G130" i="7"/>
  <c r="E130" i="7"/>
  <c r="AB187" i="7"/>
  <c r="O187" i="7"/>
  <c r="M187" i="7"/>
  <c r="K187" i="7"/>
  <c r="I187" i="7"/>
  <c r="G187" i="7"/>
  <c r="E187" i="7"/>
  <c r="AB129" i="7"/>
  <c r="O129" i="7"/>
  <c r="M129" i="7"/>
  <c r="K129" i="7"/>
  <c r="I129" i="7"/>
  <c r="G129" i="7"/>
  <c r="E129" i="7"/>
  <c r="AB128" i="7"/>
  <c r="O128" i="7"/>
  <c r="M128" i="7"/>
  <c r="K128" i="7"/>
  <c r="I128" i="7"/>
  <c r="G128" i="7"/>
  <c r="E128" i="7"/>
  <c r="AB127" i="7"/>
  <c r="O127" i="7"/>
  <c r="M127" i="7"/>
  <c r="K127" i="7"/>
  <c r="I127" i="7"/>
  <c r="G127" i="7"/>
  <c r="E127" i="7"/>
  <c r="AB126" i="7"/>
  <c r="O126" i="7"/>
  <c r="M126" i="7"/>
  <c r="K126" i="7"/>
  <c r="I126" i="7"/>
  <c r="G126" i="7"/>
  <c r="E126" i="7"/>
  <c r="AB125" i="7"/>
  <c r="O125" i="7"/>
  <c r="M125" i="7"/>
  <c r="K125" i="7"/>
  <c r="I125" i="7"/>
  <c r="G125" i="7"/>
  <c r="E125" i="7"/>
  <c r="AB124" i="7"/>
  <c r="O124" i="7"/>
  <c r="M124" i="7"/>
  <c r="K124" i="7"/>
  <c r="I124" i="7"/>
  <c r="G124" i="7"/>
  <c r="E124" i="7"/>
  <c r="AB123" i="7"/>
  <c r="O123" i="7"/>
  <c r="M123" i="7"/>
  <c r="K123" i="7"/>
  <c r="I123" i="7"/>
  <c r="G123" i="7"/>
  <c r="E123" i="7"/>
  <c r="AB122" i="7"/>
  <c r="O122" i="7"/>
  <c r="M122" i="7"/>
  <c r="K122" i="7"/>
  <c r="I122" i="7"/>
  <c r="G122" i="7"/>
  <c r="E122" i="7"/>
  <c r="AB121" i="7"/>
  <c r="O121" i="7"/>
  <c r="M121" i="7"/>
  <c r="K121" i="7"/>
  <c r="I121" i="7"/>
  <c r="G121" i="7"/>
  <c r="E121" i="7"/>
  <c r="AB120" i="7"/>
  <c r="O120" i="7"/>
  <c r="M120" i="7"/>
  <c r="K120" i="7"/>
  <c r="I120" i="7"/>
  <c r="G120" i="7"/>
  <c r="E120" i="7"/>
  <c r="AB119" i="7"/>
  <c r="M119" i="7"/>
  <c r="K119" i="7"/>
  <c r="I119" i="7"/>
  <c r="G119" i="7"/>
  <c r="E119" i="7"/>
  <c r="AB118" i="7"/>
  <c r="O118" i="7"/>
  <c r="M118" i="7"/>
  <c r="K118" i="7"/>
  <c r="I118" i="7"/>
  <c r="G118" i="7"/>
  <c r="E118" i="7"/>
  <c r="AB117" i="7"/>
  <c r="O117" i="7"/>
  <c r="M117" i="7"/>
  <c r="K117" i="7"/>
  <c r="I117" i="7"/>
  <c r="G117" i="7"/>
  <c r="E117" i="7"/>
  <c r="AB116" i="7"/>
  <c r="O116" i="7"/>
  <c r="M116" i="7"/>
  <c r="K116" i="7"/>
  <c r="I116" i="7"/>
  <c r="G116" i="7"/>
  <c r="E116" i="7"/>
  <c r="AB115" i="7"/>
  <c r="O115" i="7"/>
  <c r="M115" i="7"/>
  <c r="K115" i="7"/>
  <c r="I115" i="7"/>
  <c r="G115" i="7"/>
  <c r="E115" i="7"/>
  <c r="AB114" i="7"/>
  <c r="O114" i="7"/>
  <c r="M114" i="7"/>
  <c r="K114" i="7"/>
  <c r="I114" i="7"/>
  <c r="G114" i="7"/>
  <c r="E114" i="7"/>
  <c r="AB113" i="7"/>
  <c r="O113" i="7"/>
  <c r="M113" i="7"/>
  <c r="K113" i="7"/>
  <c r="I113" i="7"/>
  <c r="G113" i="7"/>
  <c r="E113" i="7"/>
  <c r="AB112" i="7"/>
  <c r="O112" i="7"/>
  <c r="M112" i="7"/>
  <c r="K112" i="7"/>
  <c r="G112" i="7"/>
  <c r="E112" i="7"/>
  <c r="AB111" i="7"/>
  <c r="O111" i="7"/>
  <c r="M111" i="7"/>
  <c r="K111" i="7"/>
  <c r="I111" i="7"/>
  <c r="G111" i="7"/>
  <c r="E111" i="7"/>
  <c r="AB110" i="7"/>
  <c r="O110" i="7"/>
  <c r="M110" i="7"/>
  <c r="K110" i="7"/>
  <c r="I110" i="7"/>
  <c r="G110" i="7"/>
  <c r="E110" i="7"/>
  <c r="AB109" i="7"/>
  <c r="O109" i="7"/>
  <c r="M109" i="7"/>
  <c r="K109" i="7"/>
  <c r="I109" i="7"/>
  <c r="G109" i="7"/>
  <c r="E109" i="7"/>
  <c r="AB108" i="7"/>
  <c r="O108" i="7"/>
  <c r="M108" i="7"/>
  <c r="K108" i="7"/>
  <c r="I108" i="7"/>
  <c r="G108" i="7"/>
  <c r="E108" i="7"/>
  <c r="AB107" i="7"/>
  <c r="O107" i="7"/>
  <c r="M107" i="7"/>
  <c r="K107" i="7"/>
  <c r="I107" i="7"/>
  <c r="G107" i="7"/>
  <c r="E107" i="7"/>
  <c r="AB106" i="7"/>
  <c r="O106" i="7"/>
  <c r="M106" i="7"/>
  <c r="K106" i="7"/>
  <c r="I106" i="7"/>
  <c r="G106" i="7"/>
  <c r="E106" i="7"/>
  <c r="AB105" i="7"/>
  <c r="O105" i="7"/>
  <c r="M105" i="7"/>
  <c r="K105" i="7"/>
  <c r="I105" i="7"/>
  <c r="G105" i="7"/>
  <c r="E105" i="7"/>
  <c r="AB104" i="7"/>
  <c r="O104" i="7"/>
  <c r="M104" i="7"/>
  <c r="K104" i="7"/>
  <c r="I104" i="7"/>
  <c r="G104" i="7"/>
  <c r="E104" i="7"/>
  <c r="AB103" i="7"/>
  <c r="O103" i="7"/>
  <c r="M103" i="7"/>
  <c r="K103" i="7"/>
  <c r="I103" i="7"/>
  <c r="G103" i="7"/>
  <c r="E103" i="7"/>
  <c r="AB102" i="7"/>
  <c r="O102" i="7"/>
  <c r="M102" i="7"/>
  <c r="K102" i="7"/>
  <c r="I102" i="7"/>
  <c r="G102" i="7"/>
  <c r="E102" i="7"/>
  <c r="AB101" i="7"/>
  <c r="O101" i="7"/>
  <c r="M101" i="7"/>
  <c r="K101" i="7"/>
  <c r="I101" i="7"/>
  <c r="G101" i="7"/>
  <c r="E101" i="7"/>
  <c r="AB100" i="7"/>
  <c r="O100" i="7"/>
  <c r="M100" i="7"/>
  <c r="K100" i="7"/>
  <c r="I100" i="7"/>
  <c r="G100" i="7"/>
  <c r="E100" i="7"/>
  <c r="AB99" i="7"/>
  <c r="O99" i="7"/>
  <c r="M99" i="7"/>
  <c r="K99" i="7"/>
  <c r="I99" i="7"/>
  <c r="G99" i="7"/>
  <c r="E99" i="7"/>
  <c r="AB98" i="7"/>
  <c r="O98" i="7"/>
  <c r="M98" i="7"/>
  <c r="K98" i="7"/>
  <c r="I98" i="7"/>
  <c r="G98" i="7"/>
  <c r="E98" i="7"/>
  <c r="AB97" i="7"/>
  <c r="M97" i="7"/>
  <c r="K97" i="7"/>
  <c r="I97" i="7"/>
  <c r="G97" i="7"/>
  <c r="E97" i="7"/>
  <c r="AB96" i="7"/>
  <c r="O96" i="7"/>
  <c r="M96" i="7"/>
  <c r="K96" i="7"/>
  <c r="I96" i="7"/>
  <c r="G96" i="7"/>
  <c r="E96" i="7"/>
  <c r="AB95" i="7"/>
  <c r="O95" i="7"/>
  <c r="M95" i="7"/>
  <c r="K95" i="7"/>
  <c r="I95" i="7"/>
  <c r="G95" i="7"/>
  <c r="E95" i="7"/>
  <c r="AB94" i="7"/>
  <c r="O94" i="7"/>
  <c r="M94" i="7"/>
  <c r="K94" i="7"/>
  <c r="I94" i="7"/>
  <c r="G94" i="7"/>
  <c r="E94" i="7"/>
  <c r="AB93" i="7"/>
  <c r="O93" i="7"/>
  <c r="M93" i="7"/>
  <c r="K93" i="7"/>
  <c r="I93" i="7"/>
  <c r="G93" i="7"/>
  <c r="E93" i="7"/>
  <c r="AB92" i="7"/>
  <c r="O92" i="7"/>
  <c r="M92" i="7"/>
  <c r="K92" i="7"/>
  <c r="I92" i="7"/>
  <c r="G92" i="7"/>
  <c r="E92" i="7"/>
  <c r="AB91" i="7"/>
  <c r="O91" i="7"/>
  <c r="M91" i="7"/>
  <c r="K91" i="7"/>
  <c r="I91" i="7"/>
  <c r="G91" i="7"/>
  <c r="E91" i="7"/>
  <c r="AB90" i="7"/>
  <c r="O90" i="7"/>
  <c r="M90" i="7"/>
  <c r="K90" i="7"/>
  <c r="I90" i="7"/>
  <c r="G90" i="7"/>
  <c r="E90" i="7"/>
  <c r="AB89" i="7"/>
  <c r="O89" i="7"/>
  <c r="M89" i="7"/>
  <c r="K89" i="7"/>
  <c r="I89" i="7"/>
  <c r="G89" i="7"/>
  <c r="E89" i="7"/>
  <c r="AB88" i="7"/>
  <c r="O88" i="7"/>
  <c r="M88" i="7"/>
  <c r="K88" i="7"/>
  <c r="I88" i="7"/>
  <c r="G88" i="7"/>
  <c r="E88" i="7"/>
  <c r="AB189" i="7"/>
  <c r="O189" i="7"/>
  <c r="M189" i="7"/>
  <c r="K189" i="7"/>
  <c r="G189" i="7"/>
  <c r="E189" i="7"/>
  <c r="AB87" i="7"/>
  <c r="O87" i="7"/>
  <c r="M87" i="7"/>
  <c r="K87" i="7"/>
  <c r="I87" i="7"/>
  <c r="G87" i="7"/>
  <c r="E87" i="7"/>
  <c r="AB86" i="7"/>
  <c r="M86" i="7"/>
  <c r="K86" i="7"/>
  <c r="I86" i="7"/>
  <c r="G86" i="7"/>
  <c r="E86" i="7"/>
  <c r="AB85" i="7"/>
  <c r="O85" i="7"/>
  <c r="M85" i="7"/>
  <c r="K85" i="7"/>
  <c r="I85" i="7"/>
  <c r="G85" i="7"/>
  <c r="E85" i="7"/>
  <c r="AB186" i="7"/>
  <c r="O186" i="7"/>
  <c r="M186" i="7"/>
  <c r="K186" i="7"/>
  <c r="I186" i="7"/>
  <c r="G186" i="7"/>
  <c r="E186" i="7"/>
  <c r="AB84" i="7"/>
  <c r="O84" i="7"/>
  <c r="M84" i="7"/>
  <c r="K84" i="7"/>
  <c r="I84" i="7"/>
  <c r="G84" i="7"/>
  <c r="E84" i="7"/>
  <c r="AB83" i="7"/>
  <c r="O83" i="7"/>
  <c r="M83" i="7"/>
  <c r="K83" i="7"/>
  <c r="I83" i="7"/>
  <c r="G83" i="7"/>
  <c r="E83" i="7"/>
  <c r="AB82" i="7"/>
  <c r="O82" i="7"/>
  <c r="M82" i="7"/>
  <c r="K82" i="7"/>
  <c r="I82" i="7"/>
  <c r="G82" i="7"/>
  <c r="E82" i="7"/>
  <c r="AB81" i="7"/>
  <c r="O81" i="7"/>
  <c r="M81" i="7"/>
  <c r="K81" i="7"/>
  <c r="I81" i="7"/>
  <c r="G81" i="7"/>
  <c r="E81" i="7"/>
  <c r="AB185" i="7"/>
  <c r="O185" i="7"/>
  <c r="M185" i="7"/>
  <c r="K185" i="7"/>
  <c r="I185" i="7"/>
  <c r="G185" i="7"/>
  <c r="E185" i="7"/>
  <c r="AB80" i="7"/>
  <c r="O80" i="7"/>
  <c r="M80" i="7"/>
  <c r="K80" i="7"/>
  <c r="I80" i="7"/>
  <c r="G80" i="7"/>
  <c r="E80" i="7"/>
  <c r="AB79" i="7"/>
  <c r="O79" i="7"/>
  <c r="M79" i="7"/>
  <c r="K79" i="7"/>
  <c r="I79" i="7"/>
  <c r="G79" i="7"/>
  <c r="E79" i="7"/>
  <c r="AB78" i="7"/>
  <c r="O78" i="7"/>
  <c r="M78" i="7"/>
  <c r="K78" i="7"/>
  <c r="I78" i="7"/>
  <c r="G78" i="7"/>
  <c r="E78" i="7"/>
  <c r="AB184" i="7"/>
  <c r="O184" i="7"/>
  <c r="M184" i="7"/>
  <c r="K184" i="7"/>
  <c r="I184" i="7"/>
  <c r="G184" i="7"/>
  <c r="E184" i="7"/>
  <c r="AB77" i="7"/>
  <c r="O77" i="7"/>
  <c r="E77" i="7"/>
  <c r="AB76" i="7"/>
  <c r="O76" i="7"/>
  <c r="E76" i="7"/>
  <c r="AB75" i="7"/>
  <c r="O75" i="7"/>
  <c r="E75" i="7"/>
  <c r="AB74" i="7"/>
  <c r="O74" i="7"/>
  <c r="E74" i="7"/>
  <c r="AB73" i="7"/>
  <c r="E73" i="7"/>
  <c r="AB72" i="7"/>
  <c r="O72" i="7"/>
  <c r="E72" i="7"/>
  <c r="AB71" i="7"/>
  <c r="O71" i="7"/>
  <c r="E71" i="7"/>
  <c r="AB70" i="7"/>
  <c r="O70" i="7"/>
  <c r="E70" i="7"/>
  <c r="AB69" i="7"/>
  <c r="E69" i="7"/>
  <c r="AB68" i="7"/>
  <c r="O68" i="7"/>
  <c r="E68" i="7"/>
  <c r="AB67" i="7"/>
  <c r="O67" i="7"/>
  <c r="E67" i="7"/>
  <c r="AB66" i="7"/>
  <c r="O66" i="7"/>
  <c r="E66" i="7"/>
  <c r="AB65" i="7"/>
  <c r="O65" i="7"/>
  <c r="E65" i="7"/>
  <c r="AB64" i="7"/>
  <c r="E64" i="7"/>
  <c r="AB63" i="7"/>
  <c r="O63" i="7"/>
  <c r="E63" i="7"/>
  <c r="AB62" i="7"/>
  <c r="O62" i="7"/>
  <c r="E62" i="7"/>
  <c r="AB61" i="7"/>
  <c r="O61" i="7"/>
  <c r="E61" i="7"/>
  <c r="AB60" i="7"/>
  <c r="O60" i="7"/>
  <c r="E60" i="7"/>
  <c r="AB59" i="7"/>
  <c r="O59" i="7"/>
  <c r="E59" i="7"/>
  <c r="AB58" i="7"/>
  <c r="O58" i="7"/>
  <c r="E58" i="7"/>
  <c r="AB57" i="7"/>
  <c r="O57" i="7"/>
  <c r="E57" i="7"/>
  <c r="AB56" i="7"/>
  <c r="E56" i="7"/>
  <c r="AB55" i="7"/>
  <c r="O55" i="7"/>
  <c r="E55" i="7"/>
  <c r="AB54" i="7"/>
  <c r="O54" i="7"/>
  <c r="E54" i="7"/>
  <c r="AB53" i="7"/>
  <c r="O53" i="7"/>
  <c r="E53" i="7"/>
  <c r="AB52" i="7"/>
  <c r="O52" i="7"/>
  <c r="E52" i="7"/>
  <c r="AB51" i="7"/>
  <c r="O51" i="7"/>
  <c r="E51" i="7"/>
  <c r="AB50" i="7"/>
  <c r="O50" i="7"/>
  <c r="E50" i="7"/>
  <c r="AB49" i="7"/>
  <c r="O49" i="7"/>
  <c r="E49" i="7"/>
  <c r="AB48" i="7"/>
  <c r="O48" i="7"/>
  <c r="E48" i="7"/>
  <c r="AB47" i="7"/>
  <c r="O47" i="7"/>
  <c r="E47" i="7"/>
  <c r="AB46" i="7"/>
  <c r="O46" i="7"/>
  <c r="E46" i="7"/>
  <c r="AB45" i="7"/>
  <c r="O45" i="7"/>
  <c r="E45" i="7"/>
  <c r="AB44" i="7"/>
  <c r="O44" i="7"/>
  <c r="E44" i="7"/>
  <c r="AB43" i="7"/>
  <c r="O43" i="7"/>
  <c r="E43" i="7"/>
  <c r="AB42" i="7"/>
  <c r="O42" i="7"/>
  <c r="E42" i="7"/>
  <c r="AB41" i="7"/>
  <c r="O41" i="7"/>
  <c r="E41" i="7"/>
  <c r="AB40" i="7"/>
  <c r="O40" i="7"/>
  <c r="E40" i="7"/>
  <c r="AB39" i="7"/>
  <c r="O39" i="7"/>
  <c r="E39" i="7"/>
  <c r="AB38" i="7"/>
  <c r="O38" i="7"/>
  <c r="E38" i="7"/>
  <c r="AB37" i="7"/>
  <c r="O37" i="7"/>
  <c r="E37" i="7"/>
  <c r="AB36" i="7"/>
  <c r="O36" i="7"/>
  <c r="E36" i="7"/>
  <c r="AB35" i="7"/>
  <c r="O35" i="7"/>
  <c r="E35" i="7"/>
  <c r="AB34" i="7"/>
  <c r="O34" i="7"/>
  <c r="E34" i="7"/>
  <c r="AB33" i="7"/>
  <c r="O33" i="7"/>
  <c r="E33" i="7"/>
  <c r="AB32" i="7"/>
  <c r="O32" i="7"/>
  <c r="E32" i="7"/>
  <c r="AB31" i="7"/>
  <c r="O31" i="7"/>
  <c r="E31" i="7"/>
  <c r="AB30" i="7"/>
  <c r="O30" i="7"/>
  <c r="E30" i="7"/>
  <c r="AB29" i="7"/>
  <c r="O29" i="7"/>
  <c r="E29" i="7"/>
  <c r="AB28" i="7"/>
  <c r="O28" i="7"/>
  <c r="E28" i="7"/>
  <c r="AB27" i="7"/>
  <c r="O27" i="7"/>
  <c r="E27" i="7"/>
  <c r="AB26" i="7"/>
  <c r="O26" i="7"/>
  <c r="E26" i="7"/>
  <c r="AB25" i="7"/>
  <c r="O25" i="7"/>
  <c r="E25" i="7"/>
  <c r="AB24" i="7"/>
  <c r="O24" i="7"/>
  <c r="E24" i="7"/>
  <c r="AB23" i="7"/>
  <c r="O23" i="7"/>
  <c r="E23" i="7"/>
  <c r="AB22" i="7"/>
  <c r="O22" i="7"/>
  <c r="E22" i="7"/>
  <c r="AB21" i="7"/>
  <c r="O21" i="7"/>
  <c r="E21" i="7"/>
  <c r="AB20" i="7"/>
  <c r="O20" i="7"/>
  <c r="E20" i="7"/>
  <c r="AB19" i="7"/>
  <c r="O19" i="7"/>
  <c r="E19" i="7"/>
  <c r="AB18" i="7"/>
  <c r="O18" i="7"/>
  <c r="E18" i="7"/>
  <c r="AB17" i="7"/>
  <c r="O17" i="7"/>
  <c r="E17" i="7"/>
  <c r="AB16" i="7"/>
  <c r="O16" i="7"/>
  <c r="E16" i="7"/>
  <c r="AB15" i="7"/>
  <c r="O15" i="7"/>
  <c r="E15" i="7"/>
  <c r="AB14" i="7"/>
  <c r="O14" i="7"/>
  <c r="E14" i="7"/>
  <c r="AB13" i="7"/>
  <c r="O13" i="7"/>
  <c r="E13" i="7"/>
  <c r="AB12" i="7"/>
  <c r="O12" i="7"/>
  <c r="E12" i="7"/>
  <c r="AB11" i="7"/>
  <c r="O11" i="7"/>
  <c r="E11" i="7"/>
  <c r="AB10" i="7"/>
  <c r="O10" i="7"/>
  <c r="E10" i="7"/>
  <c r="AB9" i="7"/>
  <c r="O9" i="7"/>
  <c r="E9" i="7"/>
  <c r="AB8" i="7"/>
  <c r="O8" i="7"/>
  <c r="E8" i="7"/>
  <c r="AB7" i="7"/>
  <c r="O7" i="7"/>
  <c r="E7" i="7"/>
  <c r="AB6" i="7"/>
  <c r="O6" i="7"/>
  <c r="E6" i="7"/>
  <c r="AB5" i="7"/>
  <c r="O5" i="7"/>
  <c r="E5" i="7"/>
  <c r="AB4" i="7"/>
  <c r="O4" i="7"/>
  <c r="E4" i="7"/>
  <c r="AB3" i="7"/>
  <c r="O3" i="7"/>
  <c r="E3" i="7"/>
  <c r="AB2" i="7"/>
  <c r="Q2" i="7"/>
  <c r="M2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D1" authorId="0" shapeId="0" xr:uid="{F621AAFE-190B-4745-A4F9-745721B343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 UPDATE TANGGAL 14 AGUSTUS 2025
</t>
        </r>
      </text>
    </comment>
    <comment ref="F1" authorId="1" shapeId="0" xr:uid="{D002522A-3C95-42DD-A97B-1F15E1EA6D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 UPDATE TANGGAL 14 AGUSTUS 2025
</t>
        </r>
      </text>
    </comment>
  </commentList>
</comments>
</file>

<file path=xl/sharedStrings.xml><?xml version="1.0" encoding="utf-8"?>
<sst xmlns="http://schemas.openxmlformats.org/spreadsheetml/2006/main" count="982" uniqueCount="715">
  <si>
    <t>NAMA BARANG</t>
  </si>
  <si>
    <t>HARGA JUAL BARU</t>
  </si>
  <si>
    <t>MARGIN</t>
  </si>
  <si>
    <t>NON PPN</t>
  </si>
  <si>
    <t>-</t>
  </si>
  <si>
    <t>POKKA JASMINE GREEN TEA NO SUGAR 450ML</t>
  </si>
  <si>
    <t>POKKA JASMINE GREEN TEA 450ML</t>
  </si>
  <si>
    <t>COCA COLA ZERO CAN 250 ML</t>
  </si>
  <si>
    <t>SPRITE CAN 250 ML</t>
  </si>
  <si>
    <t>GOLDA CAPPUCINO 200ML</t>
  </si>
  <si>
    <t>FLORIDINA COCO 350ML</t>
  </si>
  <si>
    <t>ROMA MALKIST COKELAT 90GR</t>
  </si>
  <si>
    <t>ROMA MALKIST ABON 105 GR</t>
  </si>
  <si>
    <t>ICHITAN KOREAN STRAWBERRY MILK 300ML</t>
  </si>
  <si>
    <t>ICHITAN KOREAN BANANA MILK 300ML</t>
  </si>
  <si>
    <t>KOPI KENANGAN INDONESIANO 200ML</t>
  </si>
  <si>
    <t>KOPIKO 78 COFFEE LATTE 240ML</t>
  </si>
  <si>
    <t>ROTI ISI COKELAT</t>
  </si>
  <si>
    <t>MOTTO WAFER COCOA 34G</t>
  </si>
  <si>
    <t>POTABEE POTATO BBQ 35GR</t>
  </si>
  <si>
    <t>NOODLE SEDAAP MIE KOREAN SPICY SOUP CUP 75GR</t>
  </si>
  <si>
    <t>BENG BENG MAX 32 Gr</t>
  </si>
  <si>
    <t>FLORIDINA ORANGE 350ML</t>
  </si>
  <si>
    <t>GOOD DAY FUNTASTIC MOCACINNO 250ML</t>
  </si>
  <si>
    <t>GOOD DAY ORIGINAL CAPPUCINO 250 Ml</t>
  </si>
  <si>
    <t>ICHI OCHA GREEN TEA 350 ML</t>
  </si>
  <si>
    <t>KAPAL API SIGNATURE BLACKCOFFEE 200 ML</t>
  </si>
  <si>
    <t>KOPI ABC SUSU 200ML</t>
  </si>
  <si>
    <t>LARUTAN KALENG MELON 320 ML</t>
  </si>
  <si>
    <t>LARUTAN KALENG JAMBU 320 ML</t>
  </si>
  <si>
    <t>MILKU SUSU UHT COKLAT 200ML</t>
  </si>
  <si>
    <t>MILKU SUSU UHT STROBERI 200ML</t>
  </si>
  <si>
    <t>MONDE EGG ROLL ORIGINAL 70GR</t>
  </si>
  <si>
    <t>NISSIN CUP RASA KALDU AYAM</t>
  </si>
  <si>
    <t>NISSIN CUP RASA KALDU SAPI</t>
  </si>
  <si>
    <t>NISSIN WAFER CHOCOLATE 42GR</t>
  </si>
  <si>
    <t>OREO VANILA 123 GR</t>
  </si>
  <si>
    <t>POP MIE RASA BAKSO 75G</t>
  </si>
  <si>
    <t>PRISTINE MINERAL WATER 400 ML</t>
  </si>
  <si>
    <t>ROMA MALKIST CRECKERS 135 GR</t>
  </si>
  <si>
    <t>ROTI CROISSANT CREAMY CHOCOLATE 60 GR</t>
  </si>
  <si>
    <t>ROTI CROISSANT SWEETMIXED BERRIES 60GR</t>
  </si>
  <si>
    <t>TEH KOTAK 200 ML</t>
  </si>
  <si>
    <t>YOU C WATER LEMON 500 Ml</t>
  </si>
  <si>
    <t>YOU C WATER ORANGE 500 Ml</t>
  </si>
  <si>
    <t>ARDEN TENDER BITE COOKIES 80GR</t>
  </si>
  <si>
    <t>POCARI SWEAT CAN 330 ML</t>
  </si>
  <si>
    <t>BUAVITA JAMBU 245 ML</t>
  </si>
  <si>
    <t>KRAKTINGDAENG  150ML</t>
  </si>
  <si>
    <t>LE MINERAL 600 Ml</t>
  </si>
  <si>
    <t>*POCARI SWEAT  500 Ml</t>
  </si>
  <si>
    <t>MIE SEDAAP CUP SOTO 81Gr</t>
  </si>
  <si>
    <t>MIE SEDAAP CUP BASO SPESIAL 77 Gr</t>
  </si>
  <si>
    <t>REDBULL GOLD CAN 250 Ml</t>
  </si>
  <si>
    <t>TEH PUCUK HARUM 350 Ml</t>
  </si>
  <si>
    <t>JAPOTA HAPPY HONEY BUTTER 36 Gr</t>
  </si>
  <si>
    <t>PRINGLESS ORIGINAL 47 Gr</t>
  </si>
  <si>
    <t>ORONAMIN C 120 ML</t>
  </si>
  <si>
    <t>FRISIAN FLAG FULL CREAM 225 ML</t>
  </si>
  <si>
    <t>FRISIAN FLAG COKELAT 225 ML</t>
  </si>
  <si>
    <t>*SUSU ULTRA COKLAT 250 ML</t>
  </si>
  <si>
    <t>POCARI SWEAT 500 ML</t>
  </si>
  <si>
    <t>MAYASI KACANG BAWANG 65Gr</t>
  </si>
  <si>
    <t>LUCKY DAY 180ML</t>
  </si>
  <si>
    <t>*TEH BOTOL SOSRO 350 ML</t>
  </si>
  <si>
    <t>*FRISIAN FLAG CHOCOLATE  225 ML</t>
  </si>
  <si>
    <t>ROTI ISI CUSTARD</t>
  </si>
  <si>
    <t>ROTI ISI SUSU</t>
  </si>
  <si>
    <t>ROTI ISI KEJU</t>
  </si>
  <si>
    <t>ROTI ISI SRIKAYA</t>
  </si>
  <si>
    <t>ROTI ISI STRAWBERRY</t>
  </si>
  <si>
    <t>COCA COLA PET 390ML</t>
  </si>
  <si>
    <t>SPRITE PET 390ML</t>
  </si>
  <si>
    <t>*LUCKY DAY 180 ML</t>
  </si>
  <si>
    <t>TANGGO WAFER VANILLA 47 G</t>
  </si>
  <si>
    <t>TANGGO WAFER COKELAT 47 G</t>
  </si>
  <si>
    <t>SUSU INDOMILK CHOCOLATE</t>
  </si>
  <si>
    <t>ITOEN OI OCHA GREEN TEA 300 ML</t>
  </si>
  <si>
    <t>BENG BENG REG 25GR (2 PCS)</t>
  </si>
  <si>
    <t>MIE SEDAP CUP AYAM JERIT 75GR</t>
  </si>
  <si>
    <t>MIE SEDAP CUP KARI SPESIAL 81 GR</t>
  </si>
  <si>
    <t>CRYSTALINE PET 600 ML</t>
  </si>
  <si>
    <t>YOYIC YOGURT BLUEBERRY 130ML</t>
  </si>
  <si>
    <t>HYDRO COCO 330ML</t>
  </si>
  <si>
    <t>SUSU BEAR BRAND 189ML</t>
  </si>
  <si>
    <t>SUSU ULTRA CHOCO 200ML</t>
  </si>
  <si>
    <t>MIE GEMEZ ENAK 22GR</t>
  </si>
  <si>
    <t>MR P ORIGINAL GARLIC PEANUTS 40G</t>
  </si>
  <si>
    <t>FRESTEA NUSANTARA 350ML</t>
  </si>
  <si>
    <t>SUSU DIAMOND CHOCO 200ML</t>
  </si>
  <si>
    <t>SUSU DIAMOND FULL CREAM 200ML</t>
  </si>
  <si>
    <t>SUSU ULTRA FULL CREAM 200ML</t>
  </si>
  <si>
    <t>FRENCH FRIES 24G</t>
  </si>
  <si>
    <t>POTABEE RASA AYAM BAKAR 35G</t>
  </si>
  <si>
    <t>HELLO PANDA COKLAT 45G</t>
  </si>
  <si>
    <t>POP MIE AYAM BAWANG</t>
  </si>
  <si>
    <t>HELLO PANDA STRAWBERRY 45G</t>
  </si>
  <si>
    <t>POP MIE GORENG SPESIAL 80G</t>
  </si>
  <si>
    <t>ROTI STICK CHOCO CHIP</t>
  </si>
  <si>
    <t>SUSU DIAMOND STRAWBERRY 200ML</t>
  </si>
  <si>
    <t>POP MIE RASA AYAM 75G</t>
  </si>
  <si>
    <t>MAYASI HOT SENZA 65 GR</t>
  </si>
  <si>
    <t>ROTI CROISSANT CREAMY CHEESE 60 GR</t>
  </si>
  <si>
    <t>KOPI KENANGAN AVOCUDDLE</t>
  </si>
  <si>
    <t>KOPI KENANGAN MANTANCINO</t>
  </si>
  <si>
    <t>KOPI KENANGAN BLACK AREN</t>
  </si>
  <si>
    <t>POCARI ION WATER 350ML</t>
  </si>
  <si>
    <t>CHACHA PEANUT WARNA 40G</t>
  </si>
  <si>
    <t>SOYJOY STRAWBERRY 30G</t>
  </si>
  <si>
    <t>TARO POTATO BBQ 32 GR</t>
  </si>
  <si>
    <t>SHIN RAMYUN SPICY MUSHROOM CUP 72GR</t>
  </si>
  <si>
    <t>GOLDA COFFE DOLCE LATTE 200ML</t>
  </si>
  <si>
    <t>ULTRA SARI KACANG HIJAU 250ML</t>
  </si>
  <si>
    <t>SUSU ULTRA STRAWBERRY 250ML</t>
  </si>
  <si>
    <t>SUSU ULTRA FULL CREAM 250ML</t>
  </si>
  <si>
    <t>SUSU ULTRA COKLAT 250ML</t>
  </si>
  <si>
    <t>FRISIAN FLAG SWEET DELIGHT  225 ML</t>
  </si>
  <si>
    <t>TEH PUCUK LESS SUGAR 350ML</t>
  </si>
  <si>
    <t>*PRINGLESS ORIGINAL 47GR</t>
  </si>
  <si>
    <t>CHITATO LITE NORI SEAWEED 35GR</t>
  </si>
  <si>
    <t>AQUA 600ML</t>
  </si>
  <si>
    <t>WAFFLE CHOCO HAZELNUT 25GR</t>
  </si>
  <si>
    <t>HYDRO COCO VIT D 330ML</t>
  </si>
  <si>
    <t>BUAVITA MANGGA 250 ML</t>
  </si>
  <si>
    <t>OVALTINE COOKIE CHOCOLATE 30G</t>
  </si>
  <si>
    <t>SOKLAT 36GR</t>
  </si>
  <si>
    <t>IYES PEDAS 75GR</t>
  </si>
  <si>
    <t>BONTEH MELATI PET 330ML</t>
  </si>
  <si>
    <t>CHRYSANTHEMUM DRINK 310ML</t>
  </si>
  <si>
    <t>TEH BOTOL PET 350ML</t>
  </si>
  <si>
    <t>COCA COLA CAN 250 ML</t>
  </si>
  <si>
    <t>WAFFLE COOKIES &amp; CREAM 25 GR</t>
  </si>
  <si>
    <t>KOPI GADJAH + CAFFIO</t>
  </si>
  <si>
    <t>GLICO POCKY CHOCOLATE STICK 47 GR</t>
  </si>
  <si>
    <t>GLICO POCKY STRAWBERRY STICK 45 GR</t>
  </si>
  <si>
    <t>CLAYPOT RAMYUN CUP 70 GR</t>
  </si>
  <si>
    <t>GLICO POCKY COOKIES &amp; CREAM 40GR</t>
  </si>
  <si>
    <t>WAFFLE MOCHA LATTE 25GR</t>
  </si>
  <si>
    <t>AMANI YOGHURT NON SUGAR MIXED GRAPE 250ML</t>
  </si>
  <si>
    <t>MIE SEDAAP CUP GORENG 81 GR</t>
  </si>
  <si>
    <t>ULTRA MILK STRAWBERRY 200ML</t>
  </si>
  <si>
    <t>POP MIE SOTO AYAM 77GR</t>
  </si>
  <si>
    <t>HONEYMON 330ML</t>
  </si>
  <si>
    <t>YEOS DRINK GRASS JELLY KLG 300ML</t>
  </si>
  <si>
    <t>AIR MINERAL PRIMA 600ML</t>
  </si>
  <si>
    <t>NUTRIVILLE COLLAGEN DRINK LYCHEE LEMON 250ML</t>
  </si>
  <si>
    <t>CHOCO PIE MARSMELLOW BOX 56 GR (ISI 2 PCS)</t>
  </si>
  <si>
    <t>NO</t>
  </si>
  <si>
    <t xml:space="preserve">NAMA PRODUK </t>
  </si>
  <si>
    <t>BARCODE</t>
  </si>
  <si>
    <t>HPP BARU
TANPA PPN</t>
  </si>
  <si>
    <t>HARGA ALFAMART/INDOMART (22/12/23)</t>
  </si>
  <si>
    <t>NOTE :</t>
  </si>
  <si>
    <t>Harga E-Commerce</t>
  </si>
  <si>
    <t>HARGA JUAL BARU VM 2024</t>
  </si>
  <si>
    <t>089686732016</t>
  </si>
  <si>
    <t>S-TEE BOTOL 390 ML</t>
  </si>
  <si>
    <t>TEBS SPARKLING MIX FRUITS</t>
  </si>
  <si>
    <t>FRUIT TEA X-TREME 500 ML</t>
  </si>
  <si>
    <t>089686870022</t>
  </si>
  <si>
    <t>089686060003</t>
  </si>
  <si>
    <t>089686060744</t>
  </si>
  <si>
    <t>FRUIT TEA APPEL 500 ML</t>
  </si>
  <si>
    <t>8996006853387</t>
  </si>
  <si>
    <t>YEOS SOYA BEAN 300ML</t>
  </si>
  <si>
    <t>VIT 550ML</t>
  </si>
  <si>
    <t>ADES GO GREEN 600ML</t>
  </si>
  <si>
    <t>MAYASI BAWANG 23GR</t>
  </si>
  <si>
    <t>WONG LO KAT LIANG TEA 310 ML</t>
  </si>
  <si>
    <t>6956367311904</t>
  </si>
  <si>
    <t>9556156003347</t>
  </si>
  <si>
    <t>ION WATER POCARI 500ML</t>
  </si>
  <si>
    <t>GARUDA CRUNCHY O'CRON 17GR</t>
  </si>
  <si>
    <t>GARUDA KACANG ATOM 33G</t>
  </si>
  <si>
    <t>90101111201300</t>
  </si>
  <si>
    <t>ROTI ARNON SISIR KEJU</t>
  </si>
  <si>
    <t>8997204440799</t>
  </si>
  <si>
    <t>ROTI ARNON CREAM MESSES 40GR</t>
  </si>
  <si>
    <t>8997204440065</t>
  </si>
  <si>
    <t>FRISIAN FLAG SUSU SEREAL RASA KOPI 225 ML</t>
  </si>
  <si>
    <t>8992753723058</t>
  </si>
  <si>
    <t>FRISIAN FLAG STRAWBERRY 225 ML</t>
  </si>
  <si>
    <t>8992753033737</t>
  </si>
  <si>
    <t>899275201408</t>
  </si>
  <si>
    <t>8992761139018</t>
  </si>
  <si>
    <t>OREO STRAWBERRY CREAM 119GR</t>
  </si>
  <si>
    <t>7622300136055</t>
  </si>
  <si>
    <t>MOTTO WAFER HAZELNUT &amp; COCOA 34 GR</t>
  </si>
  <si>
    <t>3800205876861</t>
  </si>
  <si>
    <t>SOBAMIE SAMBAL BALADO 21 GR</t>
  </si>
  <si>
    <t>8886013304609</t>
  </si>
  <si>
    <t>KANG SHI FU PEAR JUICE 500ML</t>
  </si>
  <si>
    <t>6920459989463</t>
  </si>
  <si>
    <t>POTATO - Q RASA KOREAN BBQ 22G</t>
  </si>
  <si>
    <t>8997225870841</t>
  </si>
  <si>
    <t>POTATO - Q RASA RUMPUT LAUT 22G</t>
  </si>
  <si>
    <t>8997225870766</t>
  </si>
  <si>
    <t>SOBAMIE CHICKEN BBQ 21 GR</t>
  </si>
  <si>
    <t>8886013338604</t>
  </si>
  <si>
    <t>SNACK JETZ HOLLOW PAPRIKA 35GR</t>
  </si>
  <si>
    <t>DELBI'S GANDUM STRAWBERRY ROLL 115GR</t>
  </si>
  <si>
    <t>YOU C1000 VITAMIN LEMON 140ML</t>
  </si>
  <si>
    <t>YOU C1000 VITAMIN ORANGE 140 ML</t>
  </si>
  <si>
    <t>KOPI KENANGAN CAFFE LATTE 200ML</t>
  </si>
  <si>
    <t>GOOD DAY TIRAMISU BLISS 250 ML</t>
  </si>
  <si>
    <t>NIPIS MADU 330ML</t>
  </si>
  <si>
    <t>BLUE BELL 200ML</t>
  </si>
  <si>
    <t>COOLTIME COCONUT WATER 350ML</t>
  </si>
  <si>
    <t>TUJUH KURMA 189 ML</t>
  </si>
  <si>
    <t>SOY JOY ALMOND COKLAT 30 GR</t>
  </si>
  <si>
    <t>SOY JOY RAISIN ALMOND 30 GR</t>
  </si>
  <si>
    <t>POP MIE RASA KARI</t>
  </si>
  <si>
    <t>089686060461</t>
  </si>
  <si>
    <t>GRANOBAR PACK CHOCOLATE, ALMONDS &amp; CASHEWS</t>
  </si>
  <si>
    <t>Cool-Vita Collagen Rasa Buah</t>
  </si>
  <si>
    <t>Cool-Vita Rasa Aneka Buah dan Sayuran</t>
  </si>
  <si>
    <t>AMANI YOGURT STRAWBERRY 240ML</t>
  </si>
  <si>
    <t>FANTA SODA WATER PET 250ML</t>
  </si>
  <si>
    <t>LE MINERAL 330ML</t>
  </si>
  <si>
    <t>POCARI ION WATER 500ML</t>
  </si>
  <si>
    <t>08968606002</t>
  </si>
  <si>
    <t>089686060126</t>
  </si>
  <si>
    <t>089686060362</t>
  </si>
  <si>
    <t>ABC CHOCOMALT 200 ML</t>
  </si>
  <si>
    <t>FRESTEA JASMINE 350ML</t>
  </si>
  <si>
    <t>HPP 2025</t>
  </si>
  <si>
    <t>8992775002391</t>
  </si>
  <si>
    <t>HPP+PPN 2025</t>
  </si>
  <si>
    <t>KOPI TORABIKA (TORABIKA CAPPUCINO + DUO)</t>
  </si>
  <si>
    <t>HARGA JUAL UPDATE 2025</t>
  </si>
  <si>
    <t>MARGIN 41%</t>
  </si>
  <si>
    <t>Teh Botol Sosro 350ml</t>
  </si>
  <si>
    <t>COCA-COLA CAN 250 ML</t>
  </si>
  <si>
    <t>MILKU COKELAT 200 ML</t>
  </si>
  <si>
    <t>BLUE BELL</t>
  </si>
  <si>
    <t>MILKIDO COKLAT 200 ML</t>
  </si>
  <si>
    <t xml:space="preserve">ROTI KOE </t>
  </si>
  <si>
    <t>SUSU DAN ROTI NAMICOH</t>
  </si>
  <si>
    <t>ROTI ISI COKELAT DLL</t>
  </si>
  <si>
    <t>ABC KOPI SUSU 200 ML</t>
  </si>
  <si>
    <t>DIAMOND MILK UHT COKLAT DLL 200 ML</t>
  </si>
  <si>
    <t>ROTI DAN SUSU PT POLYMER</t>
  </si>
  <si>
    <t>ROTI DAN KOPI PT POLYMER</t>
  </si>
  <si>
    <t>KOPI TUBRUK GAJAH</t>
  </si>
  <si>
    <t>KOPI CAFFINO</t>
  </si>
  <si>
    <t>KOPI TUBRUK GAJAH 2 + KOPI CAFFINO</t>
  </si>
  <si>
    <t>WAFFER COOKIS &amp; CREAM</t>
  </si>
  <si>
    <t>MOTTO WAFER COCOA 34G (KALKUMULASI HARGA BUY 2 GET 1)</t>
  </si>
  <si>
    <t>Pocky Chocolate Stick Biscuit</t>
  </si>
  <si>
    <t>Pocky Strawberry Stick Biscuit</t>
  </si>
  <si>
    <t>Pocky Cookies and Cream</t>
  </si>
  <si>
    <t xml:space="preserve">KOPI KENANGAN BLACK AREN </t>
  </si>
  <si>
    <t>HEVIITRO 600ML (AIR MINERAL BY AMANDA)</t>
  </si>
  <si>
    <t>ULTRA MILK COKLAT 200ML</t>
  </si>
  <si>
    <t>ULTRA MILK COKLAT 200ML+ROTI ISI COKELAT</t>
  </si>
  <si>
    <t>Mie Sedap Jerit</t>
  </si>
  <si>
    <t>Mie Sedap Soto</t>
  </si>
  <si>
    <t>Mie Sedap Baso</t>
  </si>
  <si>
    <t xml:space="preserve">Potabee Ayam Bakar 35 gr </t>
  </si>
  <si>
    <t>Chitato Lite Nori Seaweed</t>
  </si>
  <si>
    <t>Taro Potato Bbq 32gr</t>
  </si>
  <si>
    <t>AMANI YOGHURT NON SUGAR GRAPE 250ML</t>
  </si>
  <si>
    <t>MIE SEDAAP CUP GORENG 85 GR</t>
  </si>
  <si>
    <t>HONEYMOON</t>
  </si>
  <si>
    <t>BIOKUL TO GO</t>
  </si>
  <si>
    <t>YOU C 500 ML</t>
  </si>
  <si>
    <t>HONEYMON</t>
  </si>
  <si>
    <t>HONEYMON SETELAH DISC 8%</t>
  </si>
  <si>
    <t>YEOS GRASS JELLY</t>
  </si>
  <si>
    <t>BUAHVIA MANGGA</t>
  </si>
  <si>
    <t>ULTRA JAYA 250ML</t>
  </si>
  <si>
    <t>LE MIN 600ML CTN</t>
  </si>
  <si>
    <t>LE MIN 600ML CTN ( HARGA KHUSUS )</t>
  </si>
  <si>
    <t>AIR MINERAL PRIMA 600 ML</t>
  </si>
  <si>
    <t xml:space="preserve">CRYSTALIN 600ml HARGA NORMAL </t>
  </si>
  <si>
    <t>CRYSTALIN 600ml HARGA SETELAH DISC (HARGA TIDAK TENTU)</t>
  </si>
  <si>
    <t>THE PUCUK 350ML</t>
  </si>
  <si>
    <t>POCARI SWEAT 500ML</t>
  </si>
  <si>
    <t>ABC SUSU BAG ISI 20</t>
  </si>
  <si>
    <t>KOPI KAPAL API MIX LESS SUGAR BAG ISI 60</t>
  </si>
  <si>
    <t>GOODAY MOCACINNO ISI 30</t>
  </si>
  <si>
    <t>GOODAY CAPPUCINO ISI 30</t>
  </si>
  <si>
    <t>Toracafe cappucino isi 24 NEW</t>
  </si>
  <si>
    <t>Toracafe milkylatte  isi 24 NEW</t>
  </si>
  <si>
    <t>Cooltime isi 12 NEW</t>
  </si>
  <si>
    <t>Nipis madu isi 12 NEW</t>
  </si>
  <si>
    <t>Kopiko Blister isi 192 NEW</t>
  </si>
  <si>
    <t>Jae jae isi 144 NEW</t>
  </si>
  <si>
    <t>Himalayan all isi 192 NEW</t>
  </si>
  <si>
    <t>TUJUH KURMA 189 ML NEW</t>
  </si>
  <si>
    <t xml:space="preserve">LE MINERAL 600ML </t>
  </si>
  <si>
    <t xml:space="preserve">BLUE BELL 200ML </t>
  </si>
  <si>
    <t xml:space="preserve">BENG BENG MAX 32 Gr (HARGA DI WHOOSH) </t>
  </si>
  <si>
    <t>NUTRIVILLAGE 250ml</t>
  </si>
  <si>
    <t>CHOCO PIE MARSMELLOW BOX 56 GR</t>
  </si>
  <si>
    <t>NIPIS MADU NEW PRICE</t>
  </si>
  <si>
    <t>SIGNATURE COFFEE</t>
  </si>
  <si>
    <t>FRUIT TEA STRAWBERRY 500 ML</t>
  </si>
  <si>
    <t xml:space="preserve">AQUA 330ML </t>
  </si>
  <si>
    <t>KIN BULGARIAN YOGURT BLUEBERRY 200ML</t>
  </si>
  <si>
    <t>KIN BULGARIAN YOGURT SLURP XL MANGGO 80GR</t>
  </si>
  <si>
    <t>SPIX MIE GORENG PREMIUM 50 GR</t>
  </si>
  <si>
    <t>GARUDA ROSTA KACANG OVEN RASA BAWANG 95GR</t>
  </si>
  <si>
    <t>SNACK PILUS SAPI PANGGANG 80GR</t>
  </si>
  <si>
    <t>TEHH BOTOL PET 350ML</t>
  </si>
  <si>
    <t>TEHH BOTOL LESS SUGAR  PET 350ML</t>
  </si>
  <si>
    <t>DIAMOND JUICE UHT GUAVA 200ML</t>
  </si>
  <si>
    <t>DIAMOND JUICE UHT CRANBERRY 200ML</t>
  </si>
  <si>
    <t>le min 330ml (pt jjx)</t>
  </si>
  <si>
    <t>YEOS SOYA BEAN 250 ML</t>
  </si>
  <si>
    <t>YEOS BIRD NEST  300 ML</t>
  </si>
  <si>
    <t>POP MIE TORI KARA RAMEN 70 GR</t>
  </si>
  <si>
    <t>POP MIE TORI MISO RAMEN 77 GR</t>
  </si>
  <si>
    <t>ITOEN JASMINE GREEN TEA 500ML</t>
  </si>
  <si>
    <t>ITO EN OI OCHA HOJICHA 500 ML</t>
  </si>
  <si>
    <t>BUNDLING KOPI TORABIKA + TURKISH ( 2 CUP)</t>
  </si>
  <si>
    <t>TEH BOTOL PET LESS SUGAR 350 ML</t>
  </si>
  <si>
    <t>POP MIE GORENG RASA INDOMIE GORENG 80GR</t>
  </si>
  <si>
    <t>setting harga barang</t>
  </si>
  <si>
    <t>margin vm</t>
  </si>
  <si>
    <t>COOLTIME ISI 12 NEW</t>
  </si>
  <si>
    <t>8997220410103</t>
  </si>
  <si>
    <t>8997220411100</t>
  </si>
  <si>
    <t>8886013366485</t>
  </si>
  <si>
    <t>8999898970637</t>
  </si>
  <si>
    <t>8999898970620</t>
  </si>
  <si>
    <t>9556156046108</t>
  </si>
  <si>
    <t>089686060256</t>
  </si>
  <si>
    <t>089686060232</t>
  </si>
  <si>
    <t>8859112600064</t>
  </si>
  <si>
    <t>8994947000273</t>
  </si>
  <si>
    <t>089686062007</t>
  </si>
  <si>
    <t>REQUEST MKT 70%</t>
  </si>
  <si>
    <t>MARGIN 70%</t>
  </si>
  <si>
    <t>HARGA ALFA/INDOMART AWAL 2025</t>
  </si>
  <si>
    <t>GOOD DAY ORIGINAL CAPPUCINO 250 ML</t>
  </si>
  <si>
    <t>YOU C WATER ORANGE 500 ML</t>
  </si>
  <si>
    <t>MIE SEDAAP CUP SOTO 81 GR</t>
  </si>
  <si>
    <t>MIE SEDAAP CUP BASO SPECIAL 77 GR</t>
  </si>
  <si>
    <t>YOU C WATER LEMON 500 ML</t>
  </si>
  <si>
    <t>SUSU ULTRA CHOCOLATE 250 ML</t>
  </si>
  <si>
    <t>COCA COLA PET 390 ML</t>
  </si>
  <si>
    <t>ROMA MALKIST CRACKERS 105 GR</t>
  </si>
  <si>
    <t>TEH BOTOL SOSRO 350 ML</t>
  </si>
  <si>
    <t>LE MINERALE BTL 600 ML</t>
  </si>
  <si>
    <t>BENG BENG MAXX 32 GR</t>
  </si>
  <si>
    <t>JAPOTA HAPPY HONEY BUTTER 35 GR</t>
  </si>
  <si>
    <t>TEH PUCUK HARUM 350 ML</t>
  </si>
  <si>
    <t>MILKU STRAWBERRY 200 ML</t>
  </si>
  <si>
    <t>FLORIDINA COCO 350 ML</t>
  </si>
  <si>
    <t>SPRITE PET 390 ML</t>
  </si>
  <si>
    <t>CRYSTALIN 600 ML</t>
  </si>
  <si>
    <t>HYDRO COCO 330 ML</t>
  </si>
  <si>
    <t>GOOD DAY FUNTASTIC MOCACINNO 250 ML</t>
  </si>
  <si>
    <t>MIE GEMEZ ENAK 22 GR</t>
  </si>
  <si>
    <t>ROTI CROISSANT SWEET MIXED BERRIES 60 GR</t>
  </si>
  <si>
    <t>FRENCH FRIES 24 GR</t>
  </si>
  <si>
    <t>POTABEE RASA AYAM BAKAR 35 GR</t>
  </si>
  <si>
    <t>POP MIE RASA AYAM BAWANG</t>
  </si>
  <si>
    <t>POP MIE GORENG SPESIAL 80 GR</t>
  </si>
  <si>
    <t>SUSU ULTRA FULL CREAM 200 ML</t>
  </si>
  <si>
    <t xml:space="preserve">POP MIE RASA AYAM </t>
  </si>
  <si>
    <t>POP MIE RASA BAKSO</t>
  </si>
  <si>
    <t>KOPI ABC SUSU 200 ML</t>
  </si>
  <si>
    <t>MIE SEDAAP CUP AYAM JERIT 75 GR</t>
  </si>
  <si>
    <t>MIE SEDAAP CUP KARI SPESIAL 81  GR</t>
  </si>
  <si>
    <t>MR. P ORIGINAL GARLIC PEANUTS 40 GR</t>
  </si>
  <si>
    <t>CHACHA PEANUT WARNA 40 GR</t>
  </si>
  <si>
    <t>SOYJOY STRAWBERRY 30 GR</t>
  </si>
  <si>
    <t>SHIN RAMYUN SPICY MUSHROOM CUP 72 GR</t>
  </si>
  <si>
    <t>GOLDA COFFE DOLCE LATTE 200 ML</t>
  </si>
  <si>
    <t>ULTRA SARI KACANG HIJAU 250 ML</t>
  </si>
  <si>
    <t>SUSU ULTRA STRAWBERRY 250 ML</t>
  </si>
  <si>
    <t>SUSU ULTRA FULL CREAM 250 ML</t>
  </si>
  <si>
    <t>TEH PUCUK LESS SUGAR 350 ML</t>
  </si>
  <si>
    <t>CHITATO LITE NORI SEAWEED 35 GR</t>
  </si>
  <si>
    <t>AQUA 600 ML</t>
  </si>
  <si>
    <t>SOKLAT 36 GR</t>
  </si>
  <si>
    <t>IYES PEDAS 75 GR</t>
  </si>
  <si>
    <t>BONTEH MELATI PET 330 ML</t>
  </si>
  <si>
    <t>FLORIDINA ORANGE 350 ML</t>
  </si>
  <si>
    <t>GOLDA CAPPUCINO 200 ML</t>
  </si>
  <si>
    <t>KOPIKO 78 COFFEE LATTE 240 ML</t>
  </si>
  <si>
    <t>POTABEE POTATO BBQ 35 GR</t>
  </si>
  <si>
    <t>NOODLE SEDAAP MIE KOREAN SPICY SOUP CUP 75 GR</t>
  </si>
  <si>
    <t>HONEYMON 330 ML</t>
  </si>
  <si>
    <t>YEOS DRINK GRASS JELLY KLG 300 ML</t>
  </si>
  <si>
    <t>FRUIT TEA APEL 500 ML</t>
  </si>
  <si>
    <t>ADES GO GREEN 600 ML</t>
  </si>
  <si>
    <t>VIT 550 ML</t>
  </si>
  <si>
    <t>DELBI'S GANDUM STRAWBERRY ROLL 115 GR</t>
  </si>
  <si>
    <t>MAYASI BAWANG 23 GR</t>
  </si>
  <si>
    <t>POTATO - Q RASA RUMPUT LAUT 22 GR</t>
  </si>
  <si>
    <t>POTATO - Q RASA KOREAN BBQ 22 GR</t>
  </si>
  <si>
    <t>NIPIS MADU 330 ML</t>
  </si>
  <si>
    <t>DIAMOND JUICE UHT CRANBERRY 200 ML</t>
  </si>
  <si>
    <t>DIAMOND JUICE UHT GUAVA 200 ML</t>
  </si>
  <si>
    <t>POP MIE GORENG RASA INDOMIE GORENG 80 GR</t>
  </si>
  <si>
    <t>ITOEN JASMINE GREEN TEA 500 ML</t>
  </si>
  <si>
    <t>MIN MARGIN 20%</t>
  </si>
  <si>
    <t>ARDEN TENDER BITE COOKIES 30 GR</t>
  </si>
  <si>
    <t>8886013281481</t>
  </si>
  <si>
    <t>KUSUKA RUMPUT LAUT 60 GR</t>
  </si>
  <si>
    <t>653314504513</t>
  </si>
  <si>
    <t>KUSUKA KEJU BAKAR FLAVOUR 60 GR</t>
  </si>
  <si>
    <t>053314502234</t>
  </si>
  <si>
    <t>C1111</t>
  </si>
  <si>
    <t>MARGIN MIN 35%</t>
  </si>
  <si>
    <t>HPP 2026</t>
  </si>
  <si>
    <t>HPP+PPN 2026</t>
  </si>
  <si>
    <t>8992802117036</t>
  </si>
  <si>
    <t>SUSU MILK LIFE UHT CHOCO TEENS 200ML</t>
  </si>
  <si>
    <t>8991999111445</t>
  </si>
  <si>
    <t>SUSU MILK LIFE UHT STRAWBERRY TEENS 200ML</t>
  </si>
  <si>
    <t>8991999111643</t>
  </si>
  <si>
    <t>SUSU MILK LIFE UHT FULL CREAM TEENS 200ML</t>
  </si>
  <si>
    <t>YEOS SOYA BEAN 300 ML</t>
  </si>
  <si>
    <t>8996006858030</t>
  </si>
  <si>
    <t>8996006858016</t>
  </si>
  <si>
    <t>8996001600146</t>
  </si>
  <si>
    <t>MARGIN 41% ( C8888)</t>
  </si>
  <si>
    <t>8996001600252</t>
  </si>
  <si>
    <t>HARGA ALFA/INDOMART 2026 ( C6666)</t>
  </si>
  <si>
    <t>MONTEA MAX KOREA GRAPE 340 ML</t>
  </si>
  <si>
    <t>COCA COLA CAN 330 ML</t>
  </si>
  <si>
    <t>POWERADE ACTIVE BLUE 400 ML</t>
  </si>
  <si>
    <t>8992761146993</t>
  </si>
  <si>
    <t>POWERADE ACTIVE WHITE 400 ML</t>
  </si>
  <si>
    <t>8992761147006</t>
  </si>
  <si>
    <t>SPRITE NIPIS MINT 390ML</t>
  </si>
  <si>
    <t>8992761002121</t>
  </si>
  <si>
    <t>TEH PUCUK TETRA ORI 300 ML</t>
  </si>
  <si>
    <t>18996001601249</t>
  </si>
  <si>
    <t>TEH PUCUK TETRA LESS SUGAR 300 ML</t>
  </si>
  <si>
    <t>8996001601259</t>
  </si>
  <si>
    <t>COLLAGENA SUSU STERIL 189 ML</t>
  </si>
  <si>
    <t>8996001601051</t>
  </si>
  <si>
    <t>MARGIN 50%</t>
  </si>
  <si>
    <t>MARGIN 60%</t>
  </si>
  <si>
    <t>REQUEST MKT 50%</t>
  </si>
  <si>
    <t>REQUEST MKT 60%</t>
  </si>
  <si>
    <t>HARGA JUAL UPDATE 2026 ( C8888)</t>
  </si>
  <si>
    <t>SYSTEM SANY ( MARGIN ALFA/INDO +300 RUPIAH)</t>
  </si>
  <si>
    <t>ICHITAN BROWN SUGAR MILK 300 ML</t>
  </si>
  <si>
    <t>8997218380159</t>
  </si>
  <si>
    <t>ICHITAN THAI MILK TEA 300 ML</t>
  </si>
  <si>
    <t>8997218380074</t>
  </si>
  <si>
    <t>SPIX MIE GORENG PREMIUM 45 GR</t>
  </si>
  <si>
    <t>HYDRO COCOLATTE 220ML</t>
  </si>
  <si>
    <t>COCA COLA ZERO CAN 330 ML</t>
  </si>
  <si>
    <t>025616102504</t>
  </si>
  <si>
    <t>025616402505</t>
  </si>
  <si>
    <t>TEBS SPARKLING MIX FRUITS 500 ML</t>
  </si>
  <si>
    <t>JASMINE GREEN TEA</t>
  </si>
  <si>
    <t>JASMINE HONEY TEA</t>
  </si>
  <si>
    <t>CHESTNUT KERNEL ORIGINAL</t>
  </si>
  <si>
    <t>CHESTNUT KERNEL HONEY</t>
  </si>
  <si>
    <t>SWEET LOTUS SEEDS</t>
  </si>
  <si>
    <t>BOILED PEANUTS (SPICY)</t>
  </si>
  <si>
    <t>HEALTHY INSTAN RICE</t>
  </si>
  <si>
    <t>6939729900060</t>
  </si>
  <si>
    <t>6939729900077</t>
  </si>
  <si>
    <t>6939729901357</t>
  </si>
  <si>
    <t>6976865950160</t>
  </si>
  <si>
    <t>6976865950054</t>
  </si>
  <si>
    <t>6976865950115</t>
  </si>
  <si>
    <t>6976865950078</t>
  </si>
  <si>
    <t>6976865956667</t>
  </si>
  <si>
    <t>PRINGLES ORIGINAL 42 GR</t>
  </si>
  <si>
    <t>ICHITAN THAI COCO WATER 300ML</t>
  </si>
  <si>
    <t>8997218380166</t>
  </si>
  <si>
    <t>8997218380142</t>
  </si>
  <si>
    <t>8997218380128</t>
  </si>
  <si>
    <t>8997218380135</t>
  </si>
  <si>
    <t>8997218380340</t>
  </si>
  <si>
    <t>8997218380401</t>
  </si>
  <si>
    <t>8997218380005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</si>
  <si>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</si>
  <si>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</si>
  <si>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</si>
  <si>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</si>
  <si>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</si>
  <si>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</si>
  <si>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</si>
  <si>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</si>
  <si>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</si>
  <si>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</si>
  <si>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</si>
  <si>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</si>
  <si>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</si>
  <si>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</si>
  <si>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</si>
  <si>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</si>
  <si>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</si>
  <si>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</si>
  <si>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</si>
  <si>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</si>
  <si>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</si>
  <si>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</si>
  <si>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</si>
  <si>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</si>
  <si>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</si>
  <si>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</si>
  <si>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</si>
  <si>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</si>
  <si>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</si>
  <si>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</si>
  <si>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</si>
  <si>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</si>
  <si>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</si>
  <si>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</si>
  <si>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</si>
  <si>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</si>
  <si>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</si>
  <si>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</si>
  <si>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</si>
  <si>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</si>
  <si>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42</t>
  </si>
  <si>
    <t>43</t>
  </si>
  <si>
    <t>44</t>
  </si>
  <si>
    <t>45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</si>
  <si>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</si>
  <si>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</si>
  <si>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</si>
  <si>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</si>
  <si>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</si>
  <si>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</si>
  <si>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</si>
  <si>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</si>
  <si>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</si>
  <si>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</si>
  <si>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</si>
  <si>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</si>
  <si>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</si>
  <si>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</si>
  <si>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</si>
  <si>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</si>
  <si>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</si>
  <si>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</si>
  <si>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</si>
  <si>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</si>
  <si>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</si>
  <si>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</si>
  <si>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</si>
  <si>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</si>
  <si>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</si>
  <si>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</si>
  <si>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</si>
  <si>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</si>
  <si>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</si>
  <si>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83</t>
  </si>
  <si>
    <t>84</t>
  </si>
  <si>
    <t>85</t>
  </si>
  <si>
    <t>87</t>
  </si>
  <si>
    <t>88</t>
  </si>
  <si>
    <t>89</t>
  </si>
  <si>
    <t>90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</si>
  <si>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</si>
  <si>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</si>
  <si>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</si>
  <si>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</si>
  <si>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</si>
  <si>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</si>
  <si>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</si>
  <si>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</si>
  <si>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</si>
  <si>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</si>
  <si>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</si>
  <si>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</si>
  <si>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</si>
  <si>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</si>
  <si>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</si>
  <si>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</si>
  <si>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</si>
  <si>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</si>
  <si>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</si>
  <si>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</si>
  <si>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</si>
  <si>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</si>
  <si>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</si>
  <si>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</si>
  <si>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</si>
  <si>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</si>
  <si>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</si>
  <si>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</si>
  <si>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</si>
  <si>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</si>
  <si>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</si>
  <si>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</si>
  <si>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</si>
  <si>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</si>
  <si>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</si>
  <si>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</si>
  <si>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</si>
  <si>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</si>
  <si>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</si>
  <si>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</si>
  <si>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</si>
  <si>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</si>
  <si>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</si>
  <si>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</si>
  <si>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140</t>
  </si>
  <si>
    <t>141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</si>
  <si>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</si>
  <si>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</si>
  <si>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</si>
  <si>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</si>
  <si>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</si>
  <si>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</si>
  <si>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</si>
  <si>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</si>
  <si>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</si>
  <si>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</si>
  <si>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</si>
  <si>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</si>
  <si>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</si>
  <si>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</si>
  <si>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</si>
  <si>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</si>
  <si>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</si>
  <si>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</si>
  <si>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</si>
  <si>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</si>
  <si>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</si>
  <si>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</si>
  <si>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</si>
  <si>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</si>
  <si>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</si>
  <si>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</si>
  <si>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</si>
  <si>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</si>
  <si>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</si>
  <si>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</si>
  <si>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</si>
  <si>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</si>
  <si>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</si>
  <si>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</si>
  <si>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</si>
  <si>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181</t>
  </si>
  <si>
    <t>182</t>
  </si>
  <si>
    <t>183</t>
  </si>
  <si>
    <t>184</t>
  </si>
  <si>
    <t>OREO VANILA 105 GR</t>
  </si>
  <si>
    <t>8991649000006</t>
  </si>
  <si>
    <t>8997032711139</t>
  </si>
  <si>
    <t>37</t>
  </si>
  <si>
    <t>46</t>
  </si>
  <si>
    <t>47</t>
  </si>
  <si>
    <t>48</t>
  </si>
  <si>
    <t>78</t>
  </si>
  <si>
    <t>79</t>
  </si>
  <si>
    <t>80</t>
  </si>
  <si>
    <t>81</t>
  </si>
  <si>
    <t>82</t>
  </si>
  <si>
    <t>86</t>
  </si>
  <si>
    <t>91</t>
  </si>
  <si>
    <t>95</t>
  </si>
  <si>
    <t>113</t>
  </si>
  <si>
    <t>139</t>
  </si>
  <si>
    <t>142</t>
  </si>
  <si>
    <t>147</t>
  </si>
  <si>
    <t>179</t>
  </si>
  <si>
    <t>180</t>
  </si>
  <si>
    <t>FITBAR CHOCO 22 GR</t>
  </si>
  <si>
    <t>8992802063173</t>
  </si>
  <si>
    <t>FITBAR FRUITS 22 GR</t>
  </si>
  <si>
    <t>8997033003820</t>
  </si>
  <si>
    <t>PILUS SAPI PANGGANG 80 GR</t>
  </si>
  <si>
    <t>8992775211434</t>
  </si>
  <si>
    <t>8992802063012</t>
  </si>
  <si>
    <t>YAVA YABAR CHOCOLATE</t>
  </si>
  <si>
    <t>185</t>
  </si>
  <si>
    <t>186</t>
  </si>
  <si>
    <t>187</t>
  </si>
  <si>
    <t>188</t>
  </si>
  <si>
    <t>8997218380432</t>
  </si>
  <si>
    <t>8997218380487</t>
  </si>
  <si>
    <t>8997218380517</t>
  </si>
  <si>
    <t>133</t>
  </si>
  <si>
    <t>ICE LEMON TEA 500 ML</t>
  </si>
  <si>
    <t xml:space="preserve">KOPI TORABIKA (TORABIKA CAPPUCINO + DUO) </t>
  </si>
  <si>
    <r>
      <t xml:space="preserve">KIN BULGARIAN YOGURT BLUEBERRY 200 ML </t>
    </r>
    <r>
      <rPr>
        <sz val="12"/>
        <color rgb="FFFF0000"/>
        <rFont val="Calibri"/>
        <family val="2"/>
        <scheme val="minor"/>
      </rPr>
      <t>(harga faktur)</t>
    </r>
  </si>
  <si>
    <r>
      <t xml:space="preserve">KIN BULGARIAN YOGURT SLURP XL MANGGO 80 GR </t>
    </r>
    <r>
      <rPr>
        <sz val="12"/>
        <color rgb="FFFF0000"/>
        <rFont val="Calibri"/>
        <family val="2"/>
        <scheme val="minor"/>
      </rPr>
      <t>(harga faktur)</t>
    </r>
  </si>
  <si>
    <t>8992775713334</t>
  </si>
  <si>
    <r>
      <t xml:space="preserve">ICHITAN THAI MILK COFFEE 300ML </t>
    </r>
    <r>
      <rPr>
        <sz val="12"/>
        <color rgb="FFFF0000"/>
        <rFont val="Calibri"/>
        <family val="2"/>
        <scheme val="minor"/>
      </rPr>
      <t>(belum ada di sistem C888)</t>
    </r>
  </si>
  <si>
    <r>
      <t xml:space="preserve">ICHITAN THAI MILK GREEN TEA 300ML </t>
    </r>
    <r>
      <rPr>
        <sz val="12"/>
        <color rgb="FFFF0000"/>
        <rFont val="Calibri"/>
        <family val="2"/>
        <scheme val="minor"/>
      </rPr>
      <t xml:space="preserve"> (belum ada di sistem C888)</t>
    </r>
  </si>
  <si>
    <r>
      <t xml:space="preserve">ICHITAN SIGNATURE DARK CHOCOLATE 300ML  </t>
    </r>
    <r>
      <rPr>
        <sz val="12"/>
        <color rgb="FFFF0000"/>
        <rFont val="Calibri"/>
        <family val="2"/>
        <scheme val="minor"/>
      </rPr>
      <t>(belum ada di sistem C888)</t>
    </r>
  </si>
  <si>
    <r>
      <t xml:space="preserve">ICHITAN MELON MILK 300 ML </t>
    </r>
    <r>
      <rPr>
        <sz val="12"/>
        <color rgb="FFFF0000"/>
        <rFont val="Calibri"/>
        <family val="2"/>
        <scheme val="minor"/>
      </rPr>
      <t>(belum ada barcode C666 )(belum ada di sistem C888)</t>
    </r>
  </si>
  <si>
    <r>
      <t xml:space="preserve">BISKIES BLACK CRC SANDWICH CHOCOLATE 72 GR </t>
    </r>
    <r>
      <rPr>
        <sz val="12"/>
        <color rgb="FFFF0000"/>
        <rFont val="Calibri"/>
        <family val="2"/>
        <scheme val="minor"/>
      </rPr>
      <t>(beda barcode)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(belum ada di sistem C888)</t>
    </r>
  </si>
  <si>
    <r>
      <t xml:space="preserve">BISKIES CRACKER SANDWICH CHEESE REG 96GR </t>
    </r>
    <r>
      <rPr>
        <sz val="12"/>
        <color rgb="FFFF0000"/>
        <rFont val="Calibri"/>
        <family val="2"/>
        <scheme val="minor"/>
      </rPr>
      <t>(belum ada di sistem C888)</t>
    </r>
  </si>
  <si>
    <r>
      <t>MR. BROWN ICED COFFEE</t>
    </r>
    <r>
      <rPr>
        <sz val="12"/>
        <color rgb="FFFF0000"/>
        <rFont val="Calibri"/>
        <family val="2"/>
        <scheme val="minor"/>
      </rPr>
      <t xml:space="preserve">  (belum ada di sistem C888)</t>
    </r>
  </si>
  <si>
    <r>
      <t xml:space="preserve">MR. BROWN BLACK COFFEE </t>
    </r>
    <r>
      <rPr>
        <sz val="12"/>
        <color rgb="FFFF0000"/>
        <rFont val="Calibri"/>
        <family val="2"/>
        <scheme val="minor"/>
      </rPr>
      <t>(belum ada di sistem C666, C888)</t>
    </r>
  </si>
  <si>
    <r>
      <t xml:space="preserve">ICHITAN THAI MILK COFFE SALTED CARAMEL 300 ML </t>
    </r>
    <r>
      <rPr>
        <sz val="12"/>
        <color rgb="FFFF0000"/>
        <rFont val="Calibri"/>
        <family val="2"/>
        <scheme val="minor"/>
      </rPr>
      <t xml:space="preserve">  (belum ada di sistem C666, C888)</t>
    </r>
  </si>
  <si>
    <r>
      <t xml:space="preserve">ICHITAN ROASTED CHEESE MILK TEA 300 ML  </t>
    </r>
    <r>
      <rPr>
        <sz val="12"/>
        <color rgb="FFFF0000"/>
        <rFont val="Calibri"/>
        <family val="2"/>
        <scheme val="minor"/>
      </rPr>
      <t>(belum ada di sistem C666, C888)</t>
    </r>
  </si>
  <si>
    <t>OREO STRAWBERRY CREAM 105 GR</t>
  </si>
  <si>
    <r>
      <t>ICHITAN THAI MANGO COCONUT 300ML (</t>
    </r>
    <r>
      <rPr>
        <sz val="12"/>
        <color rgb="FFFF0000"/>
        <rFont val="Calibri"/>
        <family val="2"/>
        <scheme val="minor"/>
      </rPr>
      <t>belum ada di sistem C888)</t>
    </r>
  </si>
  <si>
    <t xml:space="preserve">TORACAFE MILKYLATTE  ISI 24 NEW </t>
  </si>
  <si>
    <t xml:space="preserve">TORACAFE CAPPUCINO ISI 24 NEW </t>
  </si>
  <si>
    <t>MAYASI KACANG BAWANG 65 GR (belum ada di sistem C666, C888)</t>
  </si>
  <si>
    <r>
      <t xml:space="preserve">SPRITE CAN 330 ML </t>
    </r>
    <r>
      <rPr>
        <sz val="12"/>
        <color rgb="FFFF0000"/>
        <rFont val="Calibri"/>
        <family val="2"/>
        <scheme val="minor"/>
      </rPr>
      <t>(belum ada di sistem C111)</t>
    </r>
  </si>
  <si>
    <r>
      <t xml:space="preserve">POP MIE SOTO AYAM 77 GR </t>
    </r>
    <r>
      <rPr>
        <sz val="12"/>
        <color rgb="FFFF0000"/>
        <rFont val="Calibri"/>
        <family val="2"/>
        <scheme val="minor"/>
      </rPr>
      <t>(belum ada di sistem C111)</t>
    </r>
  </si>
  <si>
    <t>FRUIT TEA STRAWBERRY 500 ML  (belum ada di sistem C111)</t>
  </si>
  <si>
    <r>
      <t xml:space="preserve">AQUA 330 ML  </t>
    </r>
    <r>
      <rPr>
        <sz val="12"/>
        <color rgb="FFFF0000"/>
        <rFont val="Calibri"/>
        <family val="2"/>
        <scheme val="minor"/>
      </rPr>
      <t>(belum ada di sistem C111)</t>
    </r>
  </si>
  <si>
    <r>
      <t xml:space="preserve">ULTRA MILK STRAWBERRY 200 </t>
    </r>
    <r>
      <rPr>
        <sz val="12"/>
        <rFont val="Calibri"/>
        <family val="2"/>
        <scheme val="minor"/>
      </rPr>
      <t>ML</t>
    </r>
    <r>
      <rPr>
        <sz val="12"/>
        <color rgb="FFFF0000"/>
        <rFont val="Calibri"/>
        <family val="2"/>
        <scheme val="minor"/>
      </rPr>
      <t xml:space="preserve"> (belum ada di sistem C111)</t>
    </r>
  </si>
  <si>
    <r>
      <t>SUSU ULTRA CHOCOLATE 200 ML</t>
    </r>
    <r>
      <rPr>
        <sz val="12"/>
        <color rgb="FFFF0000"/>
        <rFont val="Calibri"/>
        <family val="2"/>
        <scheme val="minor"/>
      </rPr>
      <t xml:space="preserve"> (belum ada di sistem C111)</t>
    </r>
  </si>
  <si>
    <r>
      <t>ROMA MALKIST COKELAT 90GR</t>
    </r>
    <r>
      <rPr>
        <sz val="12"/>
        <color rgb="FFFF0000"/>
        <rFont val="Calibri"/>
        <family val="2"/>
        <scheme val="minor"/>
      </rPr>
      <t xml:space="preserve"> (belum ada di sistem C111)</t>
    </r>
  </si>
  <si>
    <t>OVALTINE COOKIE CHOCOLATE 30 GR  (belum ada di sistem C111)</t>
  </si>
  <si>
    <t>POKKA JASMINE GREEN TEA 450 ML   (belum ada di sistem C111)</t>
  </si>
  <si>
    <t>POKKA JASMINE GREEN TEA NO SUGAR 450 ML   (belum ada di sistem C111)</t>
  </si>
  <si>
    <t>8851019210117, 8990044000000</t>
  </si>
  <si>
    <r>
      <t xml:space="preserve">POCARI ION WATER 350ML </t>
    </r>
    <r>
      <rPr>
        <sz val="12"/>
        <color rgb="FFFF0000"/>
        <rFont val="Calibri"/>
        <family val="2"/>
        <scheme val="minor"/>
      </rPr>
      <t>(belum ada di sistem C666, C888, C1113)</t>
    </r>
  </si>
  <si>
    <t>POCARI SWEAT CAN 330 ML (tidak ada di sistem C111)</t>
  </si>
  <si>
    <t>8998866202893, 1899886620289</t>
  </si>
  <si>
    <r>
      <t xml:space="preserve">GARUDA CRUNCHY O'CRON 17 GR </t>
    </r>
    <r>
      <rPr>
        <sz val="12"/>
        <color rgb="FFFF0000"/>
        <rFont val="Calibri"/>
        <family val="2"/>
        <scheme val="minor"/>
      </rPr>
      <t>( ga ada di sitem C111)</t>
    </r>
  </si>
  <si>
    <t>8992761166052,8997218380159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</si>
</sst>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p&quot;* #,##0_-;\-&quot;Rp&quot;* #,##0_-;_-&quot;Rp&quot;* &quot;-&quot;_-;_-@_-"/>
    <numFmt numFmtId="41" formatCode="_-* #,##0_-;\-* #,##0_-;_-* &quot;-&quot;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_-[$Rp-421]* #,##0_-;\-[$Rp-421]* #,##0_-;_-[$Rp-421]* &quot;-&quot;??_-;_-@_-"/>
    <numFmt numFmtId="167" formatCode="_-[$Rp-421]* #,##0_-;\-[$Rp-421]* #,##0_-;_-[$Rp-421]* &quot;-&quot;_-;_-@_-"/>
    <numFmt numFmtId="168" formatCode="_-[$Rp-3809]* #,##0_-;\-[$Rp-3809]* #,##0_-;_-[$Rp-3809]* &quot;-&quot;??_-;_-@_-"/>
  </numFmts>
  <fonts count="6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sz val="8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5">
    <xf numFmtId="0" fontId="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27" fillId="32" borderId="0" applyNumberFormat="0" applyBorder="0" applyAlignment="0" applyProtection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10" fillId="0" borderId="0"/>
    <xf numFmtId="0" fontId="30" fillId="0" borderId="0" applyNumberFormat="0" applyFill="0" applyBorder="0" applyAlignment="0" applyProtection="0"/>
    <xf numFmtId="0" fontId="31" fillId="0" borderId="1" applyNumberFormat="0" applyFill="0" applyAlignment="0" applyProtection="0"/>
    <xf numFmtId="0" fontId="32" fillId="0" borderId="2" applyNumberFormat="0" applyFill="0" applyAlignment="0" applyProtection="0"/>
    <xf numFmtId="0" fontId="33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34" fillId="2" borderId="0" applyNumberFormat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7" fillId="5" borderId="4" applyNumberFormat="0" applyAlignment="0" applyProtection="0"/>
    <xf numFmtId="0" fontId="38" fillId="6" borderId="5" applyNumberFormat="0" applyAlignment="0" applyProtection="0"/>
    <xf numFmtId="0" fontId="39" fillId="6" borderId="4" applyNumberFormat="0" applyAlignment="0" applyProtection="0"/>
    <xf numFmtId="0" fontId="40" fillId="0" borderId="6" applyNumberFormat="0" applyFill="0" applyAlignment="0" applyProtection="0"/>
    <xf numFmtId="0" fontId="41" fillId="7" borderId="7" applyNumberFormat="0" applyAlignment="0" applyProtection="0"/>
    <xf numFmtId="0" fontId="42" fillId="0" borderId="0" applyNumberFormat="0" applyFill="0" applyBorder="0" applyAlignment="0" applyProtection="0"/>
    <xf numFmtId="0" fontId="10" fillId="8" borderId="8" applyNumberFormat="0" applyFont="0" applyAlignment="0" applyProtection="0"/>
    <xf numFmtId="0" fontId="43" fillId="0" borderId="0" applyNumberFormat="0" applyFill="0" applyBorder="0" applyAlignment="0" applyProtection="0"/>
    <xf numFmtId="0" fontId="44" fillId="0" borderId="9" applyNumberFormat="0" applyFill="0" applyAlignment="0" applyProtection="0"/>
    <xf numFmtId="0" fontId="45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45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45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45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45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45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42" fontId="11" fillId="0" borderId="0" applyFont="0" applyFill="0" applyBorder="0" applyAlignment="0" applyProtection="0"/>
  </cellStyleXfs>
  <cellXfs count="149">
    <xf numFmtId="0" fontId="0" fillId="0" borderId="0" xfId="0"/>
    <xf numFmtId="165" fontId="47" fillId="0" borderId="10" xfId="1" applyNumberFormat="1" applyFont="1" applyFill="1" applyBorder="1"/>
    <xf numFmtId="9" fontId="47" fillId="0" borderId="10" xfId="2" applyFont="1" applyFill="1" applyBorder="1" applyAlignment="1">
      <alignment horizontal="center"/>
    </xf>
    <xf numFmtId="42" fontId="47" fillId="0" borderId="10" xfId="0" applyNumberFormat="1" applyFont="1" applyBorder="1"/>
    <xf numFmtId="9" fontId="47" fillId="0" borderId="10" xfId="2" applyFont="1" applyFill="1" applyBorder="1" applyAlignment="1">
      <alignment horizontal="center" vertical="center"/>
    </xf>
    <xf numFmtId="42" fontId="47" fillId="0" borderId="10" xfId="2" applyNumberFormat="1" applyFont="1" applyFill="1" applyBorder="1"/>
    <xf numFmtId="0" fontId="48" fillId="33" borderId="10" xfId="0" applyFont="1" applyFill="1" applyBorder="1" applyAlignment="1">
      <alignment horizontal="center" vertical="center" wrapText="1"/>
    </xf>
    <xf numFmtId="0" fontId="46" fillId="0" borderId="10" xfId="0" applyFont="1" applyBorder="1"/>
    <xf numFmtId="42" fontId="47" fillId="0" borderId="10" xfId="1" applyNumberFormat="1" applyFont="1" applyFill="1" applyBorder="1" applyAlignment="1">
      <alignment horizontal="center"/>
    </xf>
    <xf numFmtId="42" fontId="47" fillId="0" borderId="10" xfId="0" applyNumberFormat="1" applyFont="1" applyBorder="1" applyAlignment="1">
      <alignment horizontal="left" vertical="center"/>
    </xf>
    <xf numFmtId="0" fontId="11" fillId="0" borderId="0" xfId="0" applyFont="1"/>
    <xf numFmtId="42" fontId="47" fillId="34" borderId="10" xfId="0" applyNumberFormat="1" applyFont="1" applyFill="1" applyBorder="1"/>
    <xf numFmtId="0" fontId="46" fillId="0" borderId="0" xfId="0" applyFont="1"/>
    <xf numFmtId="0" fontId="0" fillId="34" borderId="0" xfId="0" applyFill="1"/>
    <xf numFmtId="0" fontId="0" fillId="35" borderId="10" xfId="0" applyFill="1" applyBorder="1"/>
    <xf numFmtId="0" fontId="0" fillId="35" borderId="10" xfId="0" applyFill="1" applyBorder="1" applyAlignment="1">
      <alignment vertical="center"/>
    </xf>
    <xf numFmtId="0" fontId="0" fillId="36" borderId="10" xfId="0" applyFill="1" applyBorder="1"/>
    <xf numFmtId="0" fontId="0" fillId="34" borderId="0" xfId="0" applyFill="1" applyAlignment="1">
      <alignment horizontal="center" vertical="center"/>
    </xf>
    <xf numFmtId="0" fontId="0" fillId="37" borderId="10" xfId="0" applyFill="1" applyBorder="1"/>
    <xf numFmtId="0" fontId="0" fillId="36" borderId="0" xfId="0" applyFill="1"/>
    <xf numFmtId="0" fontId="0" fillId="34" borderId="10" xfId="0" applyFill="1" applyBorder="1"/>
    <xf numFmtId="0" fontId="0" fillId="33" borderId="0" xfId="0" applyFill="1"/>
    <xf numFmtId="0" fontId="0" fillId="38" borderId="0" xfId="0" applyFill="1"/>
    <xf numFmtId="0" fontId="44" fillId="33" borderId="10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2" fontId="8" fillId="35" borderId="10" xfId="0" applyNumberFormat="1" applyFont="1" applyFill="1" applyBorder="1" applyAlignment="1">
      <alignment horizontal="center" vertical="center"/>
    </xf>
    <xf numFmtId="0" fontId="8" fillId="35" borderId="10" xfId="0" quotePrefix="1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9" fontId="51" fillId="33" borderId="10" xfId="2" applyFont="1" applyFill="1" applyBorder="1" applyAlignment="1">
      <alignment horizontal="center" vertical="center" wrapText="1"/>
    </xf>
    <xf numFmtId="0" fontId="51" fillId="33" borderId="10" xfId="0" applyFont="1" applyFill="1" applyBorder="1" applyAlignment="1">
      <alignment horizontal="center" vertical="center" wrapText="1"/>
    </xf>
    <xf numFmtId="42" fontId="53" fillId="0" borderId="10" xfId="0" applyNumberFormat="1" applyFont="1" applyBorder="1" applyAlignment="1">
      <alignment horizontal="center" vertical="center"/>
    </xf>
    <xf numFmtId="9" fontId="53" fillId="0" borderId="10" xfId="2" applyFont="1" applyBorder="1" applyAlignment="1">
      <alignment horizontal="center" vertical="center"/>
    </xf>
    <xf numFmtId="166" fontId="53" fillId="0" borderId="10" xfId="0" applyNumberFormat="1" applyFont="1" applyBorder="1" applyAlignment="1">
      <alignment horizontal="center" vertical="center"/>
    </xf>
    <xf numFmtId="9" fontId="53" fillId="0" borderId="10" xfId="2" applyFont="1" applyFill="1" applyBorder="1" applyAlignment="1">
      <alignment horizontal="center" vertical="center"/>
    </xf>
    <xf numFmtId="167" fontId="53" fillId="0" borderId="10" xfId="0" applyNumberFormat="1" applyFont="1" applyBorder="1" applyAlignment="1">
      <alignment horizontal="center" vertical="center"/>
    </xf>
    <xf numFmtId="166" fontId="53" fillId="0" borderId="10" xfId="0" applyNumberFormat="1" applyFont="1" applyBorder="1"/>
    <xf numFmtId="0" fontId="53" fillId="0" borderId="10" xfId="0" quotePrefix="1" applyFont="1" applyBorder="1" applyAlignment="1">
      <alignment horizontal="center" vertical="center"/>
    </xf>
    <xf numFmtId="0" fontId="53" fillId="35" borderId="10" xfId="0" quotePrefix="1" applyFont="1" applyFill="1" applyBorder="1" applyAlignment="1">
      <alignment horizontal="center" vertical="center"/>
    </xf>
    <xf numFmtId="0" fontId="53" fillId="0" borderId="10" xfId="0" applyFont="1" applyBorder="1" applyAlignment="1">
      <alignment vertical="center" wrapText="1"/>
    </xf>
    <xf numFmtId="1" fontId="53" fillId="35" borderId="10" xfId="0" applyNumberFormat="1" applyFont="1" applyFill="1" applyBorder="1" applyAlignment="1">
      <alignment horizontal="center" vertical="center" wrapText="1"/>
    </xf>
    <xf numFmtId="0" fontId="53" fillId="35" borderId="10" xfId="0" applyFont="1" applyFill="1" applyBorder="1" applyAlignment="1">
      <alignment vertical="center" wrapText="1"/>
    </xf>
    <xf numFmtId="0" fontId="53" fillId="35" borderId="10" xfId="0" applyFont="1" applyFill="1" applyBorder="1" applyAlignment="1">
      <alignment horizontal="left" vertical="center" wrapText="1"/>
    </xf>
    <xf numFmtId="1" fontId="53" fillId="35" borderId="10" xfId="0" quotePrefix="1" applyNumberFormat="1" applyFont="1" applyFill="1" applyBorder="1" applyAlignment="1">
      <alignment horizontal="center" vertical="center" wrapText="1"/>
    </xf>
    <xf numFmtId="166" fontId="53" fillId="0" borderId="10" xfId="0" quotePrefix="1" applyNumberFormat="1" applyFont="1" applyBorder="1" applyAlignment="1">
      <alignment horizontal="center" vertical="center"/>
    </xf>
    <xf numFmtId="1" fontId="53" fillId="35" borderId="10" xfId="0" quotePrefix="1" applyNumberFormat="1" applyFont="1" applyFill="1" applyBorder="1" applyAlignment="1">
      <alignment horizontal="center" vertical="center"/>
    </xf>
    <xf numFmtId="0" fontId="55" fillId="0" borderId="10" xfId="0" applyFont="1" applyBorder="1" applyAlignment="1">
      <alignment vertical="center" wrapText="1"/>
    </xf>
    <xf numFmtId="49" fontId="53" fillId="0" borderId="10" xfId="0" applyNumberFormat="1" applyFont="1" applyBorder="1" applyAlignment="1">
      <alignment horizontal="center" vertical="center"/>
    </xf>
    <xf numFmtId="9" fontId="51" fillId="39" borderId="10" xfId="2" applyFont="1" applyFill="1" applyBorder="1" applyAlignment="1">
      <alignment horizontal="center" vertical="center" wrapText="1"/>
    </xf>
    <xf numFmtId="0" fontId="44" fillId="39" borderId="10" xfId="0" applyFont="1" applyFill="1" applyBorder="1" applyAlignment="1">
      <alignment horizontal="center" vertical="center" wrapText="1"/>
    </xf>
    <xf numFmtId="9" fontId="53" fillId="40" borderId="10" xfId="2" applyFont="1" applyFill="1" applyBorder="1" applyAlignment="1">
      <alignment horizontal="center"/>
    </xf>
    <xf numFmtId="1" fontId="53" fillId="0" borderId="10" xfId="0" applyNumberFormat="1" applyFont="1" applyBorder="1" applyAlignment="1">
      <alignment horizontal="center" vertical="center" wrapText="1"/>
    </xf>
    <xf numFmtId="167" fontId="53" fillId="0" borderId="10" xfId="2" applyNumberFormat="1" applyFont="1" applyFill="1" applyBorder="1" applyAlignment="1">
      <alignment horizontal="center" vertical="center"/>
    </xf>
    <xf numFmtId="42" fontId="53" fillId="0" borderId="10" xfId="0" quotePrefix="1" applyNumberFormat="1" applyFont="1" applyBorder="1" applyAlignment="1">
      <alignment horizontal="center" vertical="center"/>
    </xf>
    <xf numFmtId="167" fontId="53" fillId="0" borderId="10" xfId="0" quotePrefix="1" applyNumberFormat="1" applyFont="1" applyBorder="1" applyAlignment="1">
      <alignment horizontal="center" vertical="center"/>
    </xf>
    <xf numFmtId="167" fontId="54" fillId="0" borderId="10" xfId="0" applyNumberFormat="1" applyFont="1" applyBorder="1" applyAlignment="1">
      <alignment horizontal="center" vertical="center"/>
    </xf>
    <xf numFmtId="166" fontId="53" fillId="41" borderId="10" xfId="0" applyNumberFormat="1" applyFont="1" applyFill="1" applyBorder="1"/>
    <xf numFmtId="42" fontId="53" fillId="42" borderId="10" xfId="0" applyNumberFormat="1" applyFont="1" applyFill="1" applyBorder="1" applyAlignment="1">
      <alignment horizontal="center" vertical="center"/>
    </xf>
    <xf numFmtId="167" fontId="53" fillId="42" borderId="10" xfId="0" applyNumberFormat="1" applyFont="1" applyFill="1" applyBorder="1" applyAlignment="1">
      <alignment horizontal="center" vertical="center"/>
    </xf>
    <xf numFmtId="166" fontId="53" fillId="42" borderId="10" xfId="0" applyNumberFormat="1" applyFont="1" applyFill="1" applyBorder="1" applyAlignment="1">
      <alignment horizontal="center" vertical="center"/>
    </xf>
    <xf numFmtId="9" fontId="53" fillId="42" borderId="10" xfId="2" applyFont="1" applyFill="1" applyBorder="1" applyAlignment="1">
      <alignment horizontal="center" vertical="center"/>
    </xf>
    <xf numFmtId="167" fontId="53" fillId="42" borderId="10" xfId="2" applyNumberFormat="1" applyFont="1" applyFill="1" applyBorder="1" applyAlignment="1">
      <alignment horizontal="center" vertical="center"/>
    </xf>
    <xf numFmtId="0" fontId="9" fillId="42" borderId="0" xfId="0" applyFont="1" applyFill="1"/>
    <xf numFmtId="9" fontId="9" fillId="40" borderId="10" xfId="2" applyFont="1" applyFill="1" applyBorder="1" applyAlignment="1">
      <alignment horizontal="right"/>
    </xf>
    <xf numFmtId="167" fontId="53" fillId="0" borderId="10" xfId="0" applyNumberFormat="1" applyFont="1" applyBorder="1"/>
    <xf numFmtId="167" fontId="53" fillId="0" borderId="10" xfId="0" applyNumberFormat="1" applyFont="1" applyBorder="1" applyAlignment="1">
      <alignment vertical="center"/>
    </xf>
    <xf numFmtId="166" fontId="53" fillId="43" borderId="10" xfId="0" applyNumberFormat="1" applyFont="1" applyFill="1" applyBorder="1"/>
    <xf numFmtId="0" fontId="7" fillId="0" borderId="0" xfId="0" applyFont="1"/>
    <xf numFmtId="167" fontId="9" fillId="0" borderId="0" xfId="0" applyNumberFormat="1" applyFont="1"/>
    <xf numFmtId="166" fontId="53" fillId="44" borderId="10" xfId="0" applyNumberFormat="1" applyFont="1" applyFill="1" applyBorder="1" applyAlignment="1">
      <alignment horizontal="center" vertical="center"/>
    </xf>
    <xf numFmtId="9" fontId="53" fillId="44" borderId="10" xfId="2" applyFont="1" applyFill="1" applyBorder="1" applyAlignment="1">
      <alignment horizontal="center" vertical="center"/>
    </xf>
    <xf numFmtId="42" fontId="53" fillId="44" borderId="10" xfId="0" applyNumberFormat="1" applyFont="1" applyFill="1" applyBorder="1" applyAlignment="1">
      <alignment horizontal="center" vertical="center"/>
    </xf>
    <xf numFmtId="167" fontId="9" fillId="44" borderId="0" xfId="0" applyNumberFormat="1" applyFont="1" applyFill="1"/>
    <xf numFmtId="0" fontId="57" fillId="35" borderId="10" xfId="0" applyFont="1" applyFill="1" applyBorder="1" applyAlignment="1">
      <alignment vertical="center" wrapText="1"/>
    </xf>
    <xf numFmtId="0" fontId="57" fillId="0" borderId="10" xfId="0" applyFont="1" applyBorder="1" applyAlignment="1">
      <alignment vertical="center" wrapText="1"/>
    </xf>
    <xf numFmtId="0" fontId="0" fillId="0" borderId="10" xfId="0" quotePrefix="1" applyBorder="1" applyAlignment="1">
      <alignment horizontal="center" vertical="center"/>
    </xf>
    <xf numFmtId="166" fontId="54" fillId="41" borderId="10" xfId="0" applyNumberFormat="1" applyFont="1" applyFill="1" applyBorder="1"/>
    <xf numFmtId="166" fontId="54" fillId="43" borderId="10" xfId="0" applyNumberFormat="1" applyFont="1" applyFill="1" applyBorder="1"/>
    <xf numFmtId="168" fontId="9" fillId="0" borderId="0" xfId="0" applyNumberFormat="1" applyFont="1"/>
    <xf numFmtId="168" fontId="44" fillId="39" borderId="10" xfId="0" applyNumberFormat="1" applyFont="1" applyFill="1" applyBorder="1" applyAlignment="1">
      <alignment horizontal="center" vertical="center" wrapText="1"/>
    </xf>
    <xf numFmtId="168" fontId="9" fillId="0" borderId="10" xfId="0" applyNumberFormat="1" applyFont="1" applyBorder="1"/>
    <xf numFmtId="168" fontId="9" fillId="42" borderId="10" xfId="0" applyNumberFormat="1" applyFont="1" applyFill="1" applyBorder="1"/>
    <xf numFmtId="168" fontId="9" fillId="35" borderId="10" xfId="0" applyNumberFormat="1" applyFont="1" applyFill="1" applyBorder="1"/>
    <xf numFmtId="168" fontId="9" fillId="0" borderId="10" xfId="0" applyNumberFormat="1" applyFont="1" applyBorder="1" applyAlignment="1">
      <alignment vertical="center"/>
    </xf>
    <xf numFmtId="168" fontId="9" fillId="44" borderId="10" xfId="0" applyNumberFormat="1" applyFont="1" applyFill="1" applyBorder="1"/>
    <xf numFmtId="9" fontId="9" fillId="0" borderId="10" xfId="2" applyFont="1" applyFill="1" applyBorder="1" applyAlignment="1">
      <alignment horizontal="center"/>
    </xf>
    <xf numFmtId="168" fontId="4" fillId="40" borderId="10" xfId="0" applyNumberFormat="1" applyFont="1" applyFill="1" applyBorder="1"/>
    <xf numFmtId="9" fontId="53" fillId="0" borderId="10" xfId="2" applyFont="1" applyFill="1" applyBorder="1" applyAlignment="1">
      <alignment horizontal="center"/>
    </xf>
    <xf numFmtId="1" fontId="53" fillId="36" borderId="10" xfId="0" applyNumberFormat="1" applyFont="1" applyFill="1" applyBorder="1" applyAlignment="1">
      <alignment horizontal="center" vertical="center" wrapText="1"/>
    </xf>
    <xf numFmtId="49" fontId="53" fillId="36" borderId="10" xfId="0" applyNumberFormat="1" applyFont="1" applyFill="1" applyBorder="1" applyAlignment="1">
      <alignment horizontal="center" vertical="center"/>
    </xf>
    <xf numFmtId="168" fontId="56" fillId="39" borderId="10" xfId="0" applyNumberFormat="1" applyFont="1" applyFill="1" applyBorder="1" applyAlignment="1">
      <alignment horizontal="center" vertical="center" wrapText="1"/>
    </xf>
    <xf numFmtId="168" fontId="9" fillId="40" borderId="10" xfId="0" applyNumberFormat="1" applyFont="1" applyFill="1" applyBorder="1"/>
    <xf numFmtId="167" fontId="4" fillId="40" borderId="0" xfId="0" applyNumberFormat="1" applyFont="1" applyFill="1"/>
    <xf numFmtId="168" fontId="3" fillId="0" borderId="10" xfId="0" applyNumberFormat="1" applyFont="1" applyBorder="1"/>
    <xf numFmtId="0" fontId="56" fillId="39" borderId="10" xfId="0" applyFont="1" applyFill="1" applyBorder="1" applyAlignment="1">
      <alignment horizontal="right" vertical="center" wrapText="1"/>
    </xf>
    <xf numFmtId="9" fontId="9" fillId="41" borderId="10" xfId="2" applyFont="1" applyFill="1" applyBorder="1" applyAlignment="1">
      <alignment horizontal="right"/>
    </xf>
    <xf numFmtId="9" fontId="9" fillId="0" borderId="10" xfId="2" applyFont="1" applyFill="1" applyBorder="1" applyAlignment="1">
      <alignment horizontal="right"/>
    </xf>
    <xf numFmtId="0" fontId="9" fillId="0" borderId="0" xfId="0" applyFont="1" applyAlignment="1">
      <alignment horizontal="right"/>
    </xf>
    <xf numFmtId="168" fontId="9" fillId="40" borderId="10" xfId="2" applyNumberFormat="1" applyFont="1" applyFill="1" applyBorder="1"/>
    <xf numFmtId="168" fontId="4" fillId="40" borderId="10" xfId="2" applyNumberFormat="1" applyFont="1" applyFill="1" applyBorder="1"/>
    <xf numFmtId="168" fontId="9" fillId="44" borderId="10" xfId="2" applyNumberFormat="1" applyFont="1" applyFill="1" applyBorder="1"/>
    <xf numFmtId="168" fontId="2" fillId="0" borderId="10" xfId="0" applyNumberFormat="1" applyFont="1" applyBorder="1"/>
    <xf numFmtId="9" fontId="44" fillId="39" borderId="10" xfId="0" applyNumberFormat="1" applyFont="1" applyFill="1" applyBorder="1" applyAlignment="1">
      <alignment horizontal="center" vertical="center" wrapText="1"/>
    </xf>
    <xf numFmtId="9" fontId="9" fillId="0" borderId="0" xfId="0" applyNumberFormat="1" applyFont="1"/>
    <xf numFmtId="168" fontId="1" fillId="0" borderId="10" xfId="0" applyNumberFormat="1" applyFont="1" applyBorder="1"/>
    <xf numFmtId="168" fontId="58" fillId="35" borderId="10" xfId="0" applyNumberFormat="1" applyFont="1" applyFill="1" applyBorder="1"/>
    <xf numFmtId="0" fontId="54" fillId="35" borderId="10" xfId="0" applyFont="1" applyFill="1" applyBorder="1" applyAlignment="1">
      <alignment vertical="center" wrapText="1"/>
    </xf>
    <xf numFmtId="168" fontId="9" fillId="35" borderId="10" xfId="0" applyNumberFormat="1" applyFont="1" applyFill="1" applyBorder="1" applyAlignment="1">
      <alignment vertical="center"/>
    </xf>
    <xf numFmtId="0" fontId="44" fillId="39" borderId="11" xfId="0" applyFont="1" applyFill="1" applyBorder="1" applyAlignment="1">
      <alignment horizontal="center" vertical="center" wrapText="1"/>
    </xf>
    <xf numFmtId="167" fontId="9" fillId="0" borderId="11" xfId="0" applyNumberFormat="1" applyFont="1" applyBorder="1"/>
    <xf numFmtId="167" fontId="9" fillId="42" borderId="11" xfId="0" applyNumberFormat="1" applyFont="1" applyFill="1" applyBorder="1"/>
    <xf numFmtId="167" fontId="9" fillId="40" borderId="11" xfId="0" applyNumberFormat="1" applyFont="1" applyFill="1" applyBorder="1"/>
    <xf numFmtId="167" fontId="4" fillId="40" borderId="11" xfId="0" applyNumberFormat="1" applyFont="1" applyFill="1" applyBorder="1"/>
    <xf numFmtId="167" fontId="9" fillId="44" borderId="11" xfId="0" applyNumberFormat="1" applyFont="1" applyFill="1" applyBorder="1"/>
    <xf numFmtId="168" fontId="9" fillId="0" borderId="10" xfId="2" applyNumberFormat="1" applyFont="1" applyFill="1" applyBorder="1"/>
    <xf numFmtId="49" fontId="53" fillId="35" borderId="10" xfId="0" applyNumberFormat="1" applyFont="1" applyFill="1" applyBorder="1" applyAlignment="1">
      <alignment horizontal="center" vertical="center"/>
    </xf>
    <xf numFmtId="0" fontId="53" fillId="34" borderId="10" xfId="0" applyFont="1" applyFill="1" applyBorder="1" applyAlignment="1">
      <alignment vertical="center" wrapText="1"/>
    </xf>
    <xf numFmtId="166" fontId="53" fillId="34" borderId="10" xfId="0" applyNumberFormat="1" applyFont="1" applyFill="1" applyBorder="1"/>
    <xf numFmtId="166" fontId="54" fillId="0" borderId="10" xfId="0" applyNumberFormat="1" applyFont="1" applyBorder="1"/>
    <xf numFmtId="42" fontId="59" fillId="0" borderId="10" xfId="94" applyFont="1" applyFill="1" applyBorder="1" applyAlignment="1">
      <alignment horizontal="center" vertical="center" wrapText="1"/>
    </xf>
    <xf numFmtId="41" fontId="0" fillId="0" borderId="10" xfId="0" applyNumberFormat="1" applyBorder="1"/>
    <xf numFmtId="42" fontId="58" fillId="0" borderId="10" xfId="94" applyFont="1" applyFill="1" applyBorder="1" applyAlignment="1">
      <alignment horizontal="center"/>
    </xf>
    <xf numFmtId="166" fontId="9" fillId="0" borderId="10" xfId="0" applyNumberFormat="1" applyFont="1" applyBorder="1"/>
    <xf numFmtId="168" fontId="9" fillId="34" borderId="10" xfId="0" applyNumberFormat="1" applyFont="1" applyFill="1" applyBorder="1"/>
    <xf numFmtId="168" fontId="6" fillId="44" borderId="10" xfId="0" quotePrefix="1" applyNumberFormat="1" applyFont="1" applyFill="1" applyBorder="1"/>
    <xf numFmtId="168" fontId="58" fillId="44" borderId="10" xfId="0" quotePrefix="1" applyNumberFormat="1" applyFont="1" applyFill="1" applyBorder="1"/>
    <xf numFmtId="168" fontId="9" fillId="44" borderId="10" xfId="94" applyNumberFormat="1" applyFont="1" applyFill="1" applyBorder="1"/>
    <xf numFmtId="168" fontId="58" fillId="44" borderId="10" xfId="0" applyNumberFormat="1" applyFont="1" applyFill="1" applyBorder="1"/>
    <xf numFmtId="168" fontId="5" fillId="44" borderId="10" xfId="0" quotePrefix="1" applyNumberFormat="1" applyFont="1" applyFill="1" applyBorder="1"/>
    <xf numFmtId="168" fontId="4" fillId="44" borderId="10" xfId="0" applyNumberFormat="1" applyFont="1" applyFill="1" applyBorder="1"/>
    <xf numFmtId="166" fontId="4" fillId="34" borderId="10" xfId="0" applyNumberFormat="1" applyFont="1" applyFill="1" applyBorder="1"/>
    <xf numFmtId="168" fontId="4" fillId="34" borderId="10" xfId="0" applyNumberFormat="1" applyFont="1" applyFill="1" applyBorder="1"/>
    <xf numFmtId="167" fontId="53" fillId="34" borderId="10" xfId="0" applyNumberFormat="1" applyFont="1" applyFill="1" applyBorder="1"/>
    <xf numFmtId="166" fontId="53" fillId="44" borderId="10" xfId="0" applyNumberFormat="1" applyFont="1" applyFill="1" applyBorder="1"/>
    <xf numFmtId="167" fontId="53" fillId="44" borderId="10" xfId="0" applyNumberFormat="1" applyFont="1" applyFill="1" applyBorder="1"/>
    <xf numFmtId="0" fontId="54" fillId="35" borderId="10" xfId="0" quotePrefix="1" applyFont="1" applyFill="1" applyBorder="1" applyAlignment="1">
      <alignment horizontal="center" vertical="center"/>
    </xf>
    <xf numFmtId="166" fontId="53" fillId="45" borderId="10" xfId="0" applyNumberFormat="1" applyFont="1" applyFill="1" applyBorder="1"/>
    <xf numFmtId="9" fontId="9" fillId="43" borderId="10" xfId="2" applyFont="1" applyFill="1" applyBorder="1" applyAlignment="1">
      <alignment horizontal="right"/>
    </xf>
    <xf numFmtId="0" fontId="44" fillId="39" borderId="10" xfId="0" applyFont="1" applyFill="1" applyBorder="1" applyAlignment="1">
      <alignment horizontal="right" vertical="center" wrapText="1"/>
    </xf>
    <xf numFmtId="9" fontId="4" fillId="40" borderId="10" xfId="2" applyFont="1" applyFill="1" applyBorder="1" applyAlignment="1">
      <alignment horizontal="right"/>
    </xf>
    <xf numFmtId="168" fontId="4" fillId="35" borderId="10" xfId="0" applyNumberFormat="1" applyFont="1" applyFill="1" applyBorder="1"/>
    <xf numFmtId="168" fontId="58" fillId="46" borderId="10" xfId="0" applyNumberFormat="1" applyFont="1" applyFill="1" applyBorder="1"/>
    <xf numFmtId="168" fontId="9" fillId="46" borderId="10" xfId="0" applyNumberFormat="1" applyFont="1" applyFill="1" applyBorder="1"/>
    <xf numFmtId="0" fontId="48" fillId="33" borderId="10" xfId="0" applyFont="1" applyFill="1" applyBorder="1" applyAlignment="1">
      <alignment horizontal="center" vertical="center"/>
    </xf>
    <xf numFmtId="0" fontId="48" fillId="33" borderId="10" xfId="0" applyFont="1" applyFill="1" applyBorder="1" applyAlignment="1">
      <alignment horizontal="center" vertical="center" wrapText="1"/>
    </xf>
    <xf numFmtId="168" fontId="9" fillId="47" borderId="10" xfId="0" applyNumberFormat="1" applyFont="1" applyFill="1" applyBorder="1"/>
    <xf numFmtId="168" fontId="3" fillId="47" borderId="10" xfId="0" applyNumberFormat="1" applyFont="1" applyFill="1" applyBorder="1"/>
  </cellXfs>
  <cellStyles count="95">
    <cellStyle name="20% - Accent1" xfId="21" builtinId="30" customBuiltin="1"/>
    <cellStyle name="20% - Accent1 2" xfId="71" xr:uid="{00000000-0005-0000-0000-000001000000}"/>
    <cellStyle name="20% - Accent2" xfId="25" builtinId="34" customBuiltin="1"/>
    <cellStyle name="20% - Accent2 2" xfId="75" xr:uid="{00000000-0005-0000-0000-000003000000}"/>
    <cellStyle name="20% - Accent3" xfId="29" builtinId="38" customBuiltin="1"/>
    <cellStyle name="20% - Accent3 2" xfId="79" xr:uid="{00000000-0005-0000-0000-000005000000}"/>
    <cellStyle name="20% - Accent4" xfId="33" builtinId="42" customBuiltin="1"/>
    <cellStyle name="20% - Accent4 2" xfId="83" xr:uid="{00000000-0005-0000-0000-000007000000}"/>
    <cellStyle name="20% - Accent5" xfId="37" builtinId="46" customBuiltin="1"/>
    <cellStyle name="20% - Accent5 2" xfId="87" xr:uid="{00000000-0005-0000-0000-000009000000}"/>
    <cellStyle name="20% - Accent6" xfId="41" builtinId="50" customBuiltin="1"/>
    <cellStyle name="20% - Accent6 2" xfId="91" xr:uid="{00000000-0005-0000-0000-00000B000000}"/>
    <cellStyle name="40% - Accent1" xfId="22" builtinId="31" customBuiltin="1"/>
    <cellStyle name="40% - Accent1 2" xfId="72" xr:uid="{00000000-0005-0000-0000-00000D000000}"/>
    <cellStyle name="40% - Accent2" xfId="26" builtinId="35" customBuiltin="1"/>
    <cellStyle name="40% - Accent2 2" xfId="76" xr:uid="{00000000-0005-0000-0000-00000F000000}"/>
    <cellStyle name="40% - Accent3" xfId="30" builtinId="39" customBuiltin="1"/>
    <cellStyle name="40% - Accent3 2" xfId="80" xr:uid="{00000000-0005-0000-0000-000011000000}"/>
    <cellStyle name="40% - Accent4" xfId="34" builtinId="43" customBuiltin="1"/>
    <cellStyle name="40% - Accent4 2" xfId="84" xr:uid="{00000000-0005-0000-0000-000013000000}"/>
    <cellStyle name="40% - Accent5" xfId="38" builtinId="47" customBuiltin="1"/>
    <cellStyle name="40% - Accent5 2" xfId="88" xr:uid="{00000000-0005-0000-0000-000015000000}"/>
    <cellStyle name="40% - Accent6" xfId="42" builtinId="51" customBuiltin="1"/>
    <cellStyle name="40% - Accent6 2" xfId="92" xr:uid="{00000000-0005-0000-0000-000017000000}"/>
    <cellStyle name="60% - Accent1" xfId="23" builtinId="32" customBuiltin="1"/>
    <cellStyle name="60% - Accent1 2" xfId="73" xr:uid="{00000000-0005-0000-0000-000019000000}"/>
    <cellStyle name="60% - Accent2" xfId="27" builtinId="36" customBuiltin="1"/>
    <cellStyle name="60% - Accent2 2" xfId="77" xr:uid="{00000000-0005-0000-0000-00001B000000}"/>
    <cellStyle name="60% - Accent3" xfId="31" builtinId="40" customBuiltin="1"/>
    <cellStyle name="60% - Accent3 2" xfId="81" xr:uid="{00000000-0005-0000-0000-00001D000000}"/>
    <cellStyle name="60% - Accent4" xfId="35" builtinId="44" customBuiltin="1"/>
    <cellStyle name="60% - Accent4 2" xfId="85" xr:uid="{00000000-0005-0000-0000-00001F000000}"/>
    <cellStyle name="60% - Accent5" xfId="39" builtinId="48" customBuiltin="1"/>
    <cellStyle name="60% - Accent5 2" xfId="89" xr:uid="{00000000-0005-0000-0000-000021000000}"/>
    <cellStyle name="60% - Accent6" xfId="43" builtinId="52" customBuiltin="1"/>
    <cellStyle name="60% - Accent6 2" xfId="93" xr:uid="{00000000-0005-0000-0000-000023000000}"/>
    <cellStyle name="Accent1" xfId="20" builtinId="29" customBuiltin="1"/>
    <cellStyle name="Accent1 2" xfId="70" xr:uid="{00000000-0005-0000-0000-000025000000}"/>
    <cellStyle name="Accent2" xfId="24" builtinId="33" customBuiltin="1"/>
    <cellStyle name="Accent2 2" xfId="74" xr:uid="{00000000-0005-0000-0000-000027000000}"/>
    <cellStyle name="Accent3" xfId="28" builtinId="37" customBuiltin="1"/>
    <cellStyle name="Accent3 2" xfId="78" xr:uid="{00000000-0005-0000-0000-000029000000}"/>
    <cellStyle name="Accent4" xfId="32" builtinId="41" customBuiltin="1"/>
    <cellStyle name="Accent4 2" xfId="82" xr:uid="{00000000-0005-0000-0000-00002B000000}"/>
    <cellStyle name="Accent5" xfId="36" builtinId="45" customBuiltin="1"/>
    <cellStyle name="Accent5 2" xfId="86" xr:uid="{00000000-0005-0000-0000-00002D000000}"/>
    <cellStyle name="Accent6" xfId="40" builtinId="49" customBuiltin="1"/>
    <cellStyle name="Accent6 2" xfId="90" xr:uid="{00000000-0005-0000-0000-00002F000000}"/>
    <cellStyle name="Bad" xfId="9" builtinId="27" customBuiltin="1"/>
    <cellStyle name="Bad 2" xfId="59" xr:uid="{00000000-0005-0000-0000-000031000000}"/>
    <cellStyle name="Calculation" xfId="13" builtinId="22" customBuiltin="1"/>
    <cellStyle name="Calculation 2" xfId="63" xr:uid="{00000000-0005-0000-0000-000033000000}"/>
    <cellStyle name="Check Cell" xfId="15" builtinId="23" customBuiltin="1"/>
    <cellStyle name="Check Cell 2" xfId="65" xr:uid="{00000000-0005-0000-0000-000035000000}"/>
    <cellStyle name="Comma [0]" xfId="1" builtinId="6"/>
    <cellStyle name="Currency [0]" xfId="94" builtinId="7"/>
    <cellStyle name="Explanatory Text" xfId="18" builtinId="53" customBuiltin="1"/>
    <cellStyle name="Explanatory Text 2" xfId="68" xr:uid="{00000000-0005-0000-0000-000038000000}"/>
    <cellStyle name="Good" xfId="8" builtinId="26" customBuiltin="1"/>
    <cellStyle name="Good 2" xfId="58" xr:uid="{00000000-0005-0000-0000-00003A000000}"/>
    <cellStyle name="Heading 1" xfId="4" builtinId="16" customBuiltin="1"/>
    <cellStyle name="Heading 1 2" xfId="54" xr:uid="{00000000-0005-0000-0000-00003C000000}"/>
    <cellStyle name="Heading 2" xfId="5" builtinId="17" customBuiltin="1"/>
    <cellStyle name="Heading 2 2" xfId="55" xr:uid="{00000000-0005-0000-0000-00003E000000}"/>
    <cellStyle name="Heading 3" xfId="6" builtinId="18" customBuiltin="1"/>
    <cellStyle name="Heading 3 2" xfId="56" xr:uid="{00000000-0005-0000-0000-000040000000}"/>
    <cellStyle name="Heading 4" xfId="7" builtinId="19" customBuiltin="1"/>
    <cellStyle name="Heading 4 2" xfId="57" xr:uid="{00000000-0005-0000-0000-000042000000}"/>
    <cellStyle name="Input" xfId="11" builtinId="20" customBuiltin="1"/>
    <cellStyle name="Input 2" xfId="61" xr:uid="{00000000-0005-0000-0000-000044000000}"/>
    <cellStyle name="Linked Cell" xfId="14" builtinId="24" customBuiltin="1"/>
    <cellStyle name="Linked Cell 2" xfId="64" xr:uid="{00000000-0005-0000-0000-000046000000}"/>
    <cellStyle name="Neutral" xfId="10" builtinId="28" customBuiltin="1"/>
    <cellStyle name="Neutral 2" xfId="60" xr:uid="{00000000-0005-0000-0000-000048000000}"/>
    <cellStyle name="Normal" xfId="0" builtinId="0"/>
    <cellStyle name="Normal 11" xfId="45" xr:uid="{00000000-0005-0000-0000-00004A000000}"/>
    <cellStyle name="Normal 12" xfId="46" xr:uid="{00000000-0005-0000-0000-00004B000000}"/>
    <cellStyle name="Normal 2" xfId="47" xr:uid="{00000000-0005-0000-0000-00004C000000}"/>
    <cellStyle name="Normal 20" xfId="48" xr:uid="{00000000-0005-0000-0000-00004D000000}"/>
    <cellStyle name="Normal 3" xfId="49" xr:uid="{00000000-0005-0000-0000-00004E000000}"/>
    <cellStyle name="Normal 4" xfId="50" xr:uid="{00000000-0005-0000-0000-00004F000000}"/>
    <cellStyle name="Normal 5" xfId="44" xr:uid="{00000000-0005-0000-0000-000050000000}"/>
    <cellStyle name="Normal 6" xfId="51" xr:uid="{00000000-0005-0000-0000-000051000000}"/>
    <cellStyle name="Normal 7" xfId="52" xr:uid="{00000000-0005-0000-0000-000052000000}"/>
    <cellStyle name="Note" xfId="17" builtinId="10" customBuiltin="1"/>
    <cellStyle name="Note 2" xfId="67" xr:uid="{00000000-0005-0000-0000-000054000000}"/>
    <cellStyle name="Output" xfId="12" builtinId="21" customBuiltin="1"/>
    <cellStyle name="Output 2" xfId="62" xr:uid="{00000000-0005-0000-0000-000056000000}"/>
    <cellStyle name="Percent" xfId="2" builtinId="5"/>
    <cellStyle name="Title" xfId="3" builtinId="15" customBuiltin="1"/>
    <cellStyle name="Title 2" xfId="53" xr:uid="{00000000-0005-0000-0000-000059000000}"/>
    <cellStyle name="Total" xfId="19" builtinId="25" customBuiltin="1"/>
    <cellStyle name="Total 2" xfId="69" xr:uid="{00000000-0005-0000-0000-00005B000000}"/>
    <cellStyle name="Warning Text" xfId="16" builtinId="11" customBuiltin="1"/>
    <cellStyle name="Warning Text 2" xfId="66" xr:uid="{00000000-0005-0000-0000-00005D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87D8-BFC7-4642-B577-A56F6E2D4059}">
  <dimension ref="A1:AG189"/>
  <sheetViews>
    <sheetView tabSelected="1" view="pageBreakPreview" zoomScale="93" zoomScaleNormal="93" zoomScaleSheetLayoutView="93" workbookViewId="0">
      <pane ySplit="1" topLeftCell="A119" activePane="bottomLeft" state="frozen"/>
      <selection activeCell="C1" sqref="C1"/>
      <selection pane="bottomLeft" activeCell="O125" sqref="O125"/>
    </sheetView>
  </sheetViews>
  <sheetFormatPr defaultRowHeight="15" x14ac:dyDescent="0.25"/>
  <cols>
    <col min="1" max="1" width="6.42578125" style="27" customWidth="1"/>
    <col min="2" max="2" width="48.140625" style="30" customWidth="1"/>
    <col min="3" max="3" width="28" style="27" customWidth="1"/>
    <col min="4" max="4" width="15.7109375" style="27" hidden="1" customWidth="1"/>
    <col min="5" max="5" width="14.7109375" style="27" hidden="1" customWidth="1"/>
    <col min="6" max="6" width="19.5703125" style="27" hidden="1" customWidth="1"/>
    <col min="7" max="7" width="13.5703125" style="27" hidden="1" customWidth="1"/>
    <col min="8" max="8" width="20.7109375" style="27" hidden="1" customWidth="1"/>
    <col min="9" max="9" width="13.85546875" style="27" hidden="1" customWidth="1"/>
    <col min="10" max="10" width="36.28515625" style="27" hidden="1" customWidth="1"/>
    <col min="11" max="12" width="16.42578125" style="27" hidden="1" customWidth="1"/>
    <col min="13" max="13" width="16.28515625" style="25" hidden="1" customWidth="1"/>
    <col min="14" max="14" width="17" style="25" hidden="1" customWidth="1"/>
    <col min="15" max="15" width="15.7109375" style="25" customWidth="1"/>
    <col min="16" max="16" width="17.42578125" style="80" hidden="1" customWidth="1"/>
    <col min="17" max="17" width="15.42578125" style="99" hidden="1" customWidth="1"/>
    <col min="18" max="18" width="19.42578125" style="80" customWidth="1"/>
    <col min="19" max="19" width="15.7109375" style="99" customWidth="1"/>
    <col min="20" max="20" width="22.42578125" style="25" customWidth="1"/>
    <col min="21" max="21" width="15.85546875" style="25" customWidth="1"/>
    <col min="22" max="22" width="19.140625" style="80" customWidth="1"/>
    <col min="23" max="23" width="15.140625" style="25" customWidth="1"/>
    <col min="24" max="24" width="18.28515625" style="80" customWidth="1"/>
    <col min="25" max="25" width="15.5703125" style="105" customWidth="1"/>
    <col min="26" max="26" width="17.85546875" style="80" customWidth="1"/>
    <col min="27" max="27" width="15.5703125" style="25" customWidth="1"/>
    <col min="28" max="28" width="0.7109375" style="25" customWidth="1"/>
    <col min="29" max="33" width="9.140625" style="25" customWidth="1"/>
    <col min="34" max="16384" width="9.140625" style="25"/>
  </cols>
  <sheetData>
    <row r="1" spans="1:28" s="24" customFormat="1" ht="73.5" customHeight="1" x14ac:dyDescent="0.25">
      <c r="A1" s="23" t="s">
        <v>147</v>
      </c>
      <c r="B1" s="23" t="s">
        <v>148</v>
      </c>
      <c r="C1" s="23" t="s">
        <v>149</v>
      </c>
      <c r="D1" s="31" t="s">
        <v>225</v>
      </c>
      <c r="E1" s="32" t="s">
        <v>227</v>
      </c>
      <c r="F1" s="32" t="s">
        <v>229</v>
      </c>
      <c r="G1" s="32" t="s">
        <v>230</v>
      </c>
      <c r="H1" s="32" t="s">
        <v>332</v>
      </c>
      <c r="I1" s="32" t="s">
        <v>333</v>
      </c>
      <c r="J1" s="32" t="s">
        <v>334</v>
      </c>
      <c r="K1" s="32" t="s">
        <v>399</v>
      </c>
      <c r="L1" s="32" t="s">
        <v>406</v>
      </c>
      <c r="M1" s="32" t="s">
        <v>407</v>
      </c>
      <c r="N1" s="50" t="s">
        <v>408</v>
      </c>
      <c r="O1" s="51" t="s">
        <v>409</v>
      </c>
      <c r="P1" s="81" t="s">
        <v>422</v>
      </c>
      <c r="Q1" s="140" t="s">
        <v>399</v>
      </c>
      <c r="R1" s="92" t="s">
        <v>406</v>
      </c>
      <c r="S1" s="96" t="s">
        <v>407</v>
      </c>
      <c r="T1" s="51" t="s">
        <v>441</v>
      </c>
      <c r="U1" s="51" t="s">
        <v>420</v>
      </c>
      <c r="V1" s="81" t="s">
        <v>439</v>
      </c>
      <c r="W1" s="51" t="s">
        <v>437</v>
      </c>
      <c r="X1" s="81" t="s">
        <v>440</v>
      </c>
      <c r="Y1" s="104" t="s">
        <v>438</v>
      </c>
      <c r="Z1" s="81" t="s">
        <v>332</v>
      </c>
      <c r="AA1" s="51" t="s">
        <v>333</v>
      </c>
      <c r="AB1" s="110" t="s">
        <v>442</v>
      </c>
    </row>
    <row r="2" spans="1:28" ht="33.75" customHeight="1" x14ac:dyDescent="0.25">
      <c r="A2" s="40" t="s">
        <v>477</v>
      </c>
      <c r="B2" s="43" t="s">
        <v>376</v>
      </c>
      <c r="C2" s="42">
        <v>8886008101053</v>
      </c>
      <c r="D2" s="37">
        <v>2252</v>
      </c>
      <c r="E2" s="37">
        <f>(D2*11%)+D2</f>
        <v>2499.7199999999998</v>
      </c>
      <c r="F2" s="35">
        <v>4500</v>
      </c>
      <c r="G2" s="36">
        <f>(F2/1.11-D2)/F2*1.11</f>
        <v>0.44450666666666661</v>
      </c>
      <c r="H2" s="37">
        <v>10000</v>
      </c>
      <c r="I2" s="36">
        <f>(H2/1.11-D2)/H2*1.11</f>
        <v>0.75002800000000003</v>
      </c>
      <c r="J2" s="37">
        <v>3800</v>
      </c>
      <c r="K2" s="36">
        <f>(J2/1.11-D2)/J2*1.11</f>
        <v>0.34217894736842103</v>
      </c>
      <c r="L2" s="54">
        <v>3900</v>
      </c>
      <c r="M2" s="36">
        <f>(L2/1.11-D2)/L2*1.11</f>
        <v>0.35904615384615379</v>
      </c>
      <c r="N2" s="38">
        <v>2252</v>
      </c>
      <c r="O2" s="58">
        <f>(N2*11%)+N2</f>
        <v>2499.7199999999998</v>
      </c>
      <c r="P2" s="86">
        <v>3800</v>
      </c>
      <c r="Q2" s="139">
        <f>(P2/1.11-N2)/P2*1.11</f>
        <v>0.34217894736842103</v>
      </c>
      <c r="R2" s="143">
        <v>4099</v>
      </c>
      <c r="S2" s="97">
        <f>(R2/1.11-N2)/R2*1.11</f>
        <v>0.3901634545010978</v>
      </c>
      <c r="T2" s="135">
        <v>4500</v>
      </c>
      <c r="U2" s="52">
        <f>(T2/1.11-N2)/T2*1.11</f>
        <v>0.44450666666666661</v>
      </c>
      <c r="V2" s="82">
        <v>5000</v>
      </c>
      <c r="W2" s="52">
        <f>(V2/1.11-N2)/V2*1.11</f>
        <v>0.50005600000000006</v>
      </c>
      <c r="X2" s="82">
        <v>6300</v>
      </c>
      <c r="Y2" s="52">
        <f>(X2/1.11-N2)/X2*1.11</f>
        <v>0.60321904761904754</v>
      </c>
      <c r="Z2" s="82">
        <v>8200</v>
      </c>
      <c r="AA2" s="52">
        <f>(Z2/1.11-N2)/Z2*1.11</f>
        <v>0.69515609756097552</v>
      </c>
      <c r="AB2" s="111">
        <f>J2+300</f>
        <v>4100</v>
      </c>
    </row>
    <row r="3" spans="1:28" ht="32.25" customHeight="1" x14ac:dyDescent="0.25">
      <c r="A3" s="40" t="s">
        <v>478</v>
      </c>
      <c r="B3" s="43" t="s">
        <v>38</v>
      </c>
      <c r="C3" s="42">
        <v>8999510785540</v>
      </c>
      <c r="D3" s="33">
        <v>2647</v>
      </c>
      <c r="E3" s="37">
        <f>(D3*11%)+D3</f>
        <v>2938.17</v>
      </c>
      <c r="F3" s="35">
        <v>6000</v>
      </c>
      <c r="G3" s="36">
        <f t="shared" ref="G3:G66" si="0">(F3/1.11-D3)/F3*1.11</f>
        <v>0.5103049999999999</v>
      </c>
      <c r="H3" s="37">
        <v>10000</v>
      </c>
      <c r="I3" s="36">
        <f t="shared" ref="I3:I66" si="1">(H3/1.11-D3)/H3*1.11</f>
        <v>0.70618300000000001</v>
      </c>
      <c r="J3" s="37">
        <v>4500</v>
      </c>
      <c r="K3" s="36">
        <f t="shared" ref="K3:K66" si="2">(J3/1.11-D3)/J3*1.11</f>
        <v>0.34707333333333329</v>
      </c>
      <c r="L3" s="54">
        <v>4500</v>
      </c>
      <c r="M3" s="36">
        <f t="shared" ref="M3:M66" si="3">(L3/1.11-D3)/L3*1.11</f>
        <v>0.34707333333333329</v>
      </c>
      <c r="N3" s="38">
        <v>2796</v>
      </c>
      <c r="O3" s="58">
        <f>(N3*11%)+N3</f>
        <v>3103.56</v>
      </c>
      <c r="P3" s="86">
        <v>4500</v>
      </c>
      <c r="Q3" s="139">
        <f t="shared" ref="Q3:Q66" si="4">(P3/1.11-N3)/P3*1.11</f>
        <v>0.31031999999999998</v>
      </c>
      <c r="R3" s="144">
        <v>4999</v>
      </c>
      <c r="S3" s="97">
        <f t="shared" ref="S3:S66" si="5">(R3/1.11-N3)/R3*1.11</f>
        <v>0.37916383276655319</v>
      </c>
      <c r="T3" s="135">
        <v>6000</v>
      </c>
      <c r="U3" s="52">
        <f t="shared" ref="U3:U65" si="6">(T3/1.11-N3)/T3*1.11</f>
        <v>0.48273999999999995</v>
      </c>
      <c r="V3" s="82">
        <v>6200</v>
      </c>
      <c r="W3" s="52">
        <f t="shared" ref="W3:W66" si="7">(V3/1.11-N3)/V3*1.11</f>
        <v>0.49942580645161289</v>
      </c>
      <c r="X3" s="82">
        <v>7800</v>
      </c>
      <c r="Y3" s="52">
        <f t="shared" ref="Y3:Y66" si="8">(X3/1.11-N3)/X3*1.11</f>
        <v>0.60210769230769234</v>
      </c>
      <c r="Z3" s="82">
        <v>10200</v>
      </c>
      <c r="AA3" s="52">
        <f t="shared" ref="AA3:AA66" si="9">(Z3/1.11-N3)/Z3*1.11</f>
        <v>0.69572941176470582</v>
      </c>
      <c r="AB3" s="111">
        <f t="shared" ref="AB3:AB45" si="10">J3+300</f>
        <v>4800</v>
      </c>
    </row>
    <row r="4" spans="1:28" ht="30" customHeight="1" x14ac:dyDescent="0.25">
      <c r="A4" s="40" t="s">
        <v>479</v>
      </c>
      <c r="B4" s="43" t="s">
        <v>351</v>
      </c>
      <c r="C4" s="42">
        <v>8991102026352</v>
      </c>
      <c r="D4" s="33">
        <v>1396</v>
      </c>
      <c r="E4" s="37">
        <f>(D4*11%)+D4</f>
        <v>1549.56</v>
      </c>
      <c r="F4" s="35">
        <v>2700</v>
      </c>
      <c r="G4" s="36">
        <f t="shared" si="0"/>
        <v>0.42608888888888879</v>
      </c>
      <c r="H4" s="37">
        <v>5200</v>
      </c>
      <c r="I4" s="36">
        <f t="shared" si="1"/>
        <v>0.70200769230769244</v>
      </c>
      <c r="J4" s="33">
        <v>3000</v>
      </c>
      <c r="K4" s="36">
        <f t="shared" si="2"/>
        <v>0.48347999999999997</v>
      </c>
      <c r="L4" s="54">
        <v>2400</v>
      </c>
      <c r="M4" s="36">
        <f t="shared" si="3"/>
        <v>0.35435</v>
      </c>
      <c r="N4" s="38">
        <v>1659.99</v>
      </c>
      <c r="O4" s="58">
        <f>(N4*11%)+N4</f>
        <v>1842.5889</v>
      </c>
      <c r="P4" s="86">
        <v>3600</v>
      </c>
      <c r="Q4" s="139">
        <f t="shared" si="4"/>
        <v>0.4881697499999999</v>
      </c>
      <c r="R4" s="144">
        <v>3600</v>
      </c>
      <c r="S4" s="97">
        <f t="shared" si="5"/>
        <v>0.4881697499999999</v>
      </c>
      <c r="T4" s="135">
        <v>4200</v>
      </c>
      <c r="U4" s="52">
        <f t="shared" si="6"/>
        <v>0.56128835714285708</v>
      </c>
      <c r="V4" s="82">
        <v>4200</v>
      </c>
      <c r="W4" s="52">
        <f t="shared" si="7"/>
        <v>0.56128835714285708</v>
      </c>
      <c r="X4" s="106">
        <v>4600</v>
      </c>
      <c r="Y4" s="52">
        <f t="shared" si="8"/>
        <v>0.5994371956521739</v>
      </c>
      <c r="Z4" s="82">
        <v>6200</v>
      </c>
      <c r="AA4" s="52">
        <f t="shared" si="9"/>
        <v>0.70280824193548397</v>
      </c>
      <c r="AB4" s="111">
        <f t="shared" si="10"/>
        <v>3300</v>
      </c>
    </row>
    <row r="5" spans="1:28" ht="25.5" customHeight="1" x14ac:dyDescent="0.25">
      <c r="A5" s="40" t="s">
        <v>480</v>
      </c>
      <c r="B5" s="43" t="s">
        <v>699</v>
      </c>
      <c r="C5" s="42">
        <v>8992761111533</v>
      </c>
      <c r="D5" s="37">
        <v>5032</v>
      </c>
      <c r="E5" s="37">
        <f t="shared" ref="E5:E36" si="11">(D5*11%)+D5</f>
        <v>5585.52</v>
      </c>
      <c r="F5" s="35">
        <v>9500</v>
      </c>
      <c r="G5" s="36">
        <f t="shared" si="0"/>
        <v>0.41205052631578942</v>
      </c>
      <c r="H5" s="37">
        <v>18900</v>
      </c>
      <c r="I5" s="36">
        <f t="shared" si="1"/>
        <v>0.70446984126984136</v>
      </c>
      <c r="J5" s="37">
        <v>7000</v>
      </c>
      <c r="K5" s="36">
        <f t="shared" si="2"/>
        <v>0.20206857142857129</v>
      </c>
      <c r="L5" s="54">
        <v>8600</v>
      </c>
      <c r="M5" s="36">
        <f t="shared" si="3"/>
        <v>0.35052093023255809</v>
      </c>
      <c r="N5" s="38">
        <v>5150.1499999999996</v>
      </c>
      <c r="O5" s="58">
        <f t="shared" ref="O5:O36" si="12">(N5*11%)+N5</f>
        <v>5716.6664999999994</v>
      </c>
      <c r="P5" s="126">
        <v>7500</v>
      </c>
      <c r="Q5" s="139">
        <f t="shared" si="4"/>
        <v>0.2377777999999999</v>
      </c>
      <c r="R5" s="125">
        <v>8800</v>
      </c>
      <c r="S5" s="97">
        <f t="shared" si="5"/>
        <v>0.35037880681818179</v>
      </c>
      <c r="T5" s="135">
        <v>10000</v>
      </c>
      <c r="U5" s="52">
        <f t="shared" si="6"/>
        <v>0.42833335000000006</v>
      </c>
      <c r="V5" s="82">
        <v>11400</v>
      </c>
      <c r="W5" s="52">
        <f t="shared" si="7"/>
        <v>0.49853802631578953</v>
      </c>
      <c r="X5" s="82">
        <v>14200</v>
      </c>
      <c r="Y5" s="52">
        <f t="shared" si="8"/>
        <v>0.59741785211267617</v>
      </c>
      <c r="Z5" s="82">
        <v>19000</v>
      </c>
      <c r="AA5" s="52">
        <f t="shared" si="9"/>
        <v>0.69912281578947366</v>
      </c>
      <c r="AB5" s="111">
        <f t="shared" si="10"/>
        <v>7300</v>
      </c>
    </row>
    <row r="6" spans="1:28" ht="24.75" customHeight="1" x14ac:dyDescent="0.25">
      <c r="A6" s="40" t="s">
        <v>481</v>
      </c>
      <c r="B6" s="75" t="s">
        <v>354</v>
      </c>
      <c r="C6" s="42">
        <v>8886013300601</v>
      </c>
      <c r="D6" s="33">
        <v>1300</v>
      </c>
      <c r="E6" s="37">
        <f t="shared" si="11"/>
        <v>1443</v>
      </c>
      <c r="F6" s="35">
        <v>2500</v>
      </c>
      <c r="G6" s="36">
        <f t="shared" si="0"/>
        <v>0.42280000000000001</v>
      </c>
      <c r="H6" s="37">
        <v>4800</v>
      </c>
      <c r="I6" s="36">
        <f t="shared" si="1"/>
        <v>0.69937500000000008</v>
      </c>
      <c r="J6" s="37">
        <v>2999</v>
      </c>
      <c r="K6" s="36">
        <f t="shared" si="2"/>
        <v>0.51883961320440142</v>
      </c>
      <c r="L6" s="54">
        <v>2300</v>
      </c>
      <c r="M6" s="36">
        <f t="shared" si="3"/>
        <v>0.37260869565217386</v>
      </c>
      <c r="N6" s="38">
        <v>1158.99</v>
      </c>
      <c r="O6" s="58">
        <f t="shared" si="12"/>
        <v>1286.4789000000001</v>
      </c>
      <c r="P6" s="86">
        <v>3000</v>
      </c>
      <c r="Q6" s="139">
        <f t="shared" si="4"/>
        <v>0.57117370000000001</v>
      </c>
      <c r="R6" s="144">
        <v>3000</v>
      </c>
      <c r="S6" s="97">
        <f t="shared" si="5"/>
        <v>0.57117370000000001</v>
      </c>
      <c r="T6" s="135">
        <v>3179</v>
      </c>
      <c r="U6" s="52">
        <f t="shared" si="6"/>
        <v>0.59531962881409251</v>
      </c>
      <c r="V6" s="82">
        <v>3000</v>
      </c>
      <c r="W6" s="52">
        <f t="shared" si="7"/>
        <v>0.57117370000000001</v>
      </c>
      <c r="X6" s="82">
        <v>3200</v>
      </c>
      <c r="Y6" s="52">
        <f t="shared" si="8"/>
        <v>0.59797534375000005</v>
      </c>
      <c r="Z6" s="82">
        <v>4300</v>
      </c>
      <c r="AA6" s="52">
        <f t="shared" si="9"/>
        <v>0.70081886046511621</v>
      </c>
      <c r="AB6" s="111">
        <f t="shared" si="10"/>
        <v>3299</v>
      </c>
    </row>
    <row r="7" spans="1:28" ht="27.75" customHeight="1" x14ac:dyDescent="0.25">
      <c r="A7" s="40" t="s">
        <v>482</v>
      </c>
      <c r="B7" s="43" t="s">
        <v>357</v>
      </c>
      <c r="C7" s="42">
        <v>8998866202060</v>
      </c>
      <c r="D7" s="37">
        <v>3924.01</v>
      </c>
      <c r="E7" s="37">
        <f t="shared" si="11"/>
        <v>4355.6511</v>
      </c>
      <c r="F7" s="35">
        <v>7400</v>
      </c>
      <c r="G7" s="36">
        <f t="shared" si="0"/>
        <v>0.41139849999999994</v>
      </c>
      <c r="H7" s="37">
        <v>14700</v>
      </c>
      <c r="I7" s="36">
        <f t="shared" si="1"/>
        <v>0.70369720408163261</v>
      </c>
      <c r="J7" s="33">
        <v>6000</v>
      </c>
      <c r="K7" s="36">
        <f t="shared" si="2"/>
        <v>0.27405814999999989</v>
      </c>
      <c r="L7" s="54">
        <v>6700</v>
      </c>
      <c r="M7" s="36">
        <f t="shared" si="3"/>
        <v>0.34990282089552233</v>
      </c>
      <c r="N7" s="38">
        <v>3924.0540000000001</v>
      </c>
      <c r="O7" s="58">
        <f>(N7*11%)+N7</f>
        <v>4355.6999400000004</v>
      </c>
      <c r="P7" s="127">
        <v>6000</v>
      </c>
      <c r="Q7" s="139">
        <f t="shared" si="4"/>
        <v>0.27405000999999996</v>
      </c>
      <c r="R7" s="144">
        <v>6999</v>
      </c>
      <c r="S7" s="97">
        <f t="shared" si="5"/>
        <v>0.37766824689241318</v>
      </c>
      <c r="T7" s="135">
        <v>7419</v>
      </c>
      <c r="U7" s="52">
        <f t="shared" si="6"/>
        <v>0.41289932066316215</v>
      </c>
      <c r="V7" s="82">
        <v>8700</v>
      </c>
      <c r="W7" s="52">
        <f t="shared" si="7"/>
        <v>0.49934483448275863</v>
      </c>
      <c r="X7" s="82">
        <v>10800</v>
      </c>
      <c r="Y7" s="52">
        <f t="shared" si="8"/>
        <v>0.59669444999999988</v>
      </c>
      <c r="Z7" s="82">
        <v>14400</v>
      </c>
      <c r="AA7" s="52">
        <f t="shared" si="9"/>
        <v>0.69752083749999994</v>
      </c>
      <c r="AB7" s="111">
        <f t="shared" si="10"/>
        <v>6300</v>
      </c>
    </row>
    <row r="8" spans="1:28" ht="24" customHeight="1" x14ac:dyDescent="0.25">
      <c r="A8" s="40" t="s">
        <v>483</v>
      </c>
      <c r="B8" s="43" t="s">
        <v>700</v>
      </c>
      <c r="C8" s="45" t="s">
        <v>222</v>
      </c>
      <c r="D8" s="37">
        <v>3790.35</v>
      </c>
      <c r="E8" s="37">
        <f t="shared" si="11"/>
        <v>4207.2884999999997</v>
      </c>
      <c r="F8" s="35">
        <v>7100</v>
      </c>
      <c r="G8" s="36">
        <f t="shared" si="0"/>
        <v>0.40742415492957751</v>
      </c>
      <c r="H8" s="37">
        <v>14200</v>
      </c>
      <c r="I8" s="36">
        <f t="shared" si="1"/>
        <v>0.7037120774647887</v>
      </c>
      <c r="J8" s="37">
        <v>6000</v>
      </c>
      <c r="K8" s="36">
        <f t="shared" si="2"/>
        <v>0.29878524999999995</v>
      </c>
      <c r="L8" s="54">
        <v>6500</v>
      </c>
      <c r="M8" s="36">
        <f t="shared" si="3"/>
        <v>0.35272484615384608</v>
      </c>
      <c r="N8" s="38">
        <v>3829</v>
      </c>
      <c r="O8" s="58">
        <f t="shared" si="12"/>
        <v>4250.1899999999996</v>
      </c>
      <c r="P8" s="128">
        <v>6000</v>
      </c>
      <c r="Q8" s="139">
        <f t="shared" si="4"/>
        <v>0.29163499999999992</v>
      </c>
      <c r="R8" s="144">
        <v>6500</v>
      </c>
      <c r="S8" s="97">
        <f t="shared" si="5"/>
        <v>0.34612461538461531</v>
      </c>
      <c r="T8" s="135">
        <v>7200</v>
      </c>
      <c r="U8" s="52">
        <f t="shared" si="6"/>
        <v>0.40969583333333331</v>
      </c>
      <c r="V8" s="82">
        <v>8500</v>
      </c>
      <c r="W8" s="52">
        <f t="shared" si="7"/>
        <v>0.49997764705882353</v>
      </c>
      <c r="X8" s="82">
        <v>10700</v>
      </c>
      <c r="Y8" s="52">
        <f t="shared" si="8"/>
        <v>0.60278598130841121</v>
      </c>
      <c r="Z8" s="82">
        <v>14000</v>
      </c>
      <c r="AA8" s="52">
        <f t="shared" si="9"/>
        <v>0.69641500000000001</v>
      </c>
      <c r="AB8" s="111">
        <f t="shared" si="10"/>
        <v>6300</v>
      </c>
    </row>
    <row r="9" spans="1:28" ht="23.25" customHeight="1" x14ac:dyDescent="0.25">
      <c r="A9" s="40" t="s">
        <v>484</v>
      </c>
      <c r="B9" s="43" t="s">
        <v>362</v>
      </c>
      <c r="C9" s="45" t="s">
        <v>221</v>
      </c>
      <c r="D9" s="37">
        <v>3790.35</v>
      </c>
      <c r="E9" s="37">
        <f t="shared" si="11"/>
        <v>4207.2884999999997</v>
      </c>
      <c r="F9" s="35">
        <v>7100</v>
      </c>
      <c r="G9" s="36">
        <f t="shared" si="0"/>
        <v>0.40742415492957751</v>
      </c>
      <c r="H9" s="37">
        <v>14200</v>
      </c>
      <c r="I9" s="36">
        <f t="shared" si="1"/>
        <v>0.7037120774647887</v>
      </c>
      <c r="J9" s="37">
        <v>6000</v>
      </c>
      <c r="K9" s="36">
        <f t="shared" si="2"/>
        <v>0.29878524999999995</v>
      </c>
      <c r="L9" s="54">
        <v>6500</v>
      </c>
      <c r="M9" s="36">
        <f t="shared" si="3"/>
        <v>0.35272484615384608</v>
      </c>
      <c r="N9" s="38">
        <v>3829</v>
      </c>
      <c r="O9" s="58">
        <f t="shared" si="12"/>
        <v>4250.1899999999996</v>
      </c>
      <c r="P9" s="128">
        <v>6000</v>
      </c>
      <c r="Q9" s="139">
        <f t="shared" si="4"/>
        <v>0.29163499999999992</v>
      </c>
      <c r="R9" s="144">
        <v>6699</v>
      </c>
      <c r="S9" s="97">
        <f t="shared" si="5"/>
        <v>0.36554858934169276</v>
      </c>
      <c r="T9" s="135">
        <v>7200</v>
      </c>
      <c r="U9" s="52">
        <f t="shared" si="6"/>
        <v>0.40969583333333331</v>
      </c>
      <c r="V9" s="82">
        <v>8500</v>
      </c>
      <c r="W9" s="52">
        <f t="shared" si="7"/>
        <v>0.49997764705882353</v>
      </c>
      <c r="X9" s="82">
        <v>10700</v>
      </c>
      <c r="Y9" s="52">
        <f t="shared" si="8"/>
        <v>0.60278598130841121</v>
      </c>
      <c r="Z9" s="82">
        <v>14000</v>
      </c>
      <c r="AA9" s="52">
        <f t="shared" si="9"/>
        <v>0.69641500000000001</v>
      </c>
      <c r="AB9" s="111">
        <f t="shared" si="10"/>
        <v>6300</v>
      </c>
    </row>
    <row r="10" spans="1:28" ht="24.75" customHeight="1" x14ac:dyDescent="0.25">
      <c r="A10" s="40" t="s">
        <v>485</v>
      </c>
      <c r="B10" s="43" t="s">
        <v>358</v>
      </c>
      <c r="C10" s="45" t="s">
        <v>160</v>
      </c>
      <c r="D10" s="37">
        <v>3790.35</v>
      </c>
      <c r="E10" s="37">
        <f t="shared" si="11"/>
        <v>4207.2884999999997</v>
      </c>
      <c r="F10" s="35">
        <v>7100</v>
      </c>
      <c r="G10" s="36">
        <f t="shared" si="0"/>
        <v>0.40742415492957751</v>
      </c>
      <c r="H10" s="37">
        <v>14200</v>
      </c>
      <c r="I10" s="36">
        <f t="shared" si="1"/>
        <v>0.7037120774647887</v>
      </c>
      <c r="J10" s="33">
        <v>5600</v>
      </c>
      <c r="K10" s="36">
        <f t="shared" si="2"/>
        <v>0.24869848214285706</v>
      </c>
      <c r="L10" s="54">
        <v>6500</v>
      </c>
      <c r="M10" s="36">
        <f t="shared" si="3"/>
        <v>0.35272484615384608</v>
      </c>
      <c r="N10" s="38">
        <v>3829</v>
      </c>
      <c r="O10" s="58">
        <f t="shared" si="12"/>
        <v>4250.1899999999996</v>
      </c>
      <c r="P10" s="128">
        <v>6000</v>
      </c>
      <c r="Q10" s="139">
        <f t="shared" si="4"/>
        <v>0.29163499999999992</v>
      </c>
      <c r="R10" s="144">
        <v>6699</v>
      </c>
      <c r="S10" s="97">
        <f t="shared" si="5"/>
        <v>0.36554858934169276</v>
      </c>
      <c r="T10" s="136">
        <v>7200</v>
      </c>
      <c r="U10" s="52">
        <f t="shared" si="6"/>
        <v>0.40969583333333331</v>
      </c>
      <c r="V10" s="82">
        <v>8500</v>
      </c>
      <c r="W10" s="52">
        <f t="shared" si="7"/>
        <v>0.49997764705882353</v>
      </c>
      <c r="X10" s="103">
        <v>10700</v>
      </c>
      <c r="Y10" s="52">
        <f t="shared" si="8"/>
        <v>0.60278598130841121</v>
      </c>
      <c r="Z10" s="82">
        <v>14000</v>
      </c>
      <c r="AA10" s="52">
        <f t="shared" si="9"/>
        <v>0.69641500000000001</v>
      </c>
      <c r="AB10" s="111">
        <f t="shared" si="10"/>
        <v>5900</v>
      </c>
    </row>
    <row r="11" spans="1:28" ht="24" customHeight="1" x14ac:dyDescent="0.25">
      <c r="A11" s="40" t="s">
        <v>486</v>
      </c>
      <c r="B11" s="43" t="s">
        <v>361</v>
      </c>
      <c r="C11" s="45" t="s">
        <v>220</v>
      </c>
      <c r="D11" s="37">
        <v>3790.35</v>
      </c>
      <c r="E11" s="37">
        <f t="shared" si="11"/>
        <v>4207.2884999999997</v>
      </c>
      <c r="F11" s="35">
        <v>7100</v>
      </c>
      <c r="G11" s="36">
        <f t="shared" si="0"/>
        <v>0.40742415492957751</v>
      </c>
      <c r="H11" s="37">
        <v>14200</v>
      </c>
      <c r="I11" s="36">
        <f t="shared" si="1"/>
        <v>0.7037120774647887</v>
      </c>
      <c r="J11" s="37">
        <v>6000</v>
      </c>
      <c r="K11" s="36">
        <f t="shared" si="2"/>
        <v>0.29878524999999995</v>
      </c>
      <c r="L11" s="54">
        <v>6500</v>
      </c>
      <c r="M11" s="36">
        <f t="shared" si="3"/>
        <v>0.35272484615384608</v>
      </c>
      <c r="N11" s="38">
        <v>3829</v>
      </c>
      <c r="O11" s="58">
        <f t="shared" si="12"/>
        <v>4250.1899999999996</v>
      </c>
      <c r="P11" s="128">
        <v>6000</v>
      </c>
      <c r="Q11" s="139">
        <f t="shared" si="4"/>
        <v>0.29163499999999992</v>
      </c>
      <c r="R11" s="144">
        <v>6699</v>
      </c>
      <c r="S11" s="97">
        <f t="shared" si="5"/>
        <v>0.36554858934169276</v>
      </c>
      <c r="T11" s="135">
        <v>7200</v>
      </c>
      <c r="U11" s="52">
        <f t="shared" si="6"/>
        <v>0.40969583333333331</v>
      </c>
      <c r="V11" s="82">
        <v>8500</v>
      </c>
      <c r="W11" s="52">
        <f t="shared" si="7"/>
        <v>0.49997764705882353</v>
      </c>
      <c r="X11" s="82">
        <v>10700</v>
      </c>
      <c r="Y11" s="52">
        <f t="shared" si="8"/>
        <v>0.60278598130841121</v>
      </c>
      <c r="Z11" s="82">
        <v>14000</v>
      </c>
      <c r="AA11" s="52">
        <f t="shared" si="9"/>
        <v>0.69641500000000001</v>
      </c>
      <c r="AB11" s="111">
        <f t="shared" si="10"/>
        <v>6300</v>
      </c>
    </row>
    <row r="12" spans="1:28" ht="21.75" customHeight="1" x14ac:dyDescent="0.25">
      <c r="A12" s="40" t="s">
        <v>487</v>
      </c>
      <c r="B12" s="43" t="s">
        <v>359</v>
      </c>
      <c r="C12" s="45" t="s">
        <v>161</v>
      </c>
      <c r="D12" s="37">
        <v>3982</v>
      </c>
      <c r="E12" s="37">
        <f t="shared" si="11"/>
        <v>4420.0200000000004</v>
      </c>
      <c r="F12" s="35">
        <v>7500</v>
      </c>
      <c r="G12" s="36">
        <f t="shared" si="0"/>
        <v>0.41066399999999986</v>
      </c>
      <c r="H12" s="37">
        <v>14900</v>
      </c>
      <c r="I12" s="36">
        <f t="shared" si="1"/>
        <v>0.70335436241610738</v>
      </c>
      <c r="J12" s="33">
        <v>7000</v>
      </c>
      <c r="K12" s="36">
        <f t="shared" si="2"/>
        <v>0.3685685714285713</v>
      </c>
      <c r="L12" s="54">
        <v>6800</v>
      </c>
      <c r="M12" s="36">
        <f t="shared" si="3"/>
        <v>0.34999705882352927</v>
      </c>
      <c r="N12" s="38">
        <v>4106</v>
      </c>
      <c r="O12" s="58">
        <f t="shared" si="12"/>
        <v>4557.66</v>
      </c>
      <c r="P12" s="128">
        <v>7000</v>
      </c>
      <c r="Q12" s="139">
        <f t="shared" si="4"/>
        <v>0.34890571428571421</v>
      </c>
      <c r="R12" s="144">
        <v>7000</v>
      </c>
      <c r="S12" s="97">
        <f t="shared" si="5"/>
        <v>0.34890571428571421</v>
      </c>
      <c r="T12" s="135">
        <v>7700</v>
      </c>
      <c r="U12" s="52">
        <f t="shared" si="6"/>
        <v>0.40809610389610385</v>
      </c>
      <c r="V12" s="82">
        <v>9100</v>
      </c>
      <c r="W12" s="52">
        <f t="shared" si="7"/>
        <v>0.49915824175824169</v>
      </c>
      <c r="X12" s="82">
        <v>11400</v>
      </c>
      <c r="Y12" s="52">
        <f t="shared" si="8"/>
        <v>0.6002052631578948</v>
      </c>
      <c r="Z12" s="82">
        <v>15000</v>
      </c>
      <c r="AA12" s="52">
        <f t="shared" si="9"/>
        <v>0.69615599999999989</v>
      </c>
      <c r="AB12" s="111">
        <f t="shared" si="10"/>
        <v>7300</v>
      </c>
    </row>
    <row r="13" spans="1:28" s="64" customFormat="1" ht="24.75" customHeight="1" x14ac:dyDescent="0.25">
      <c r="A13" s="40" t="s">
        <v>488</v>
      </c>
      <c r="B13" s="43" t="s">
        <v>28</v>
      </c>
      <c r="C13" s="42">
        <v>8999988888835</v>
      </c>
      <c r="D13" s="37">
        <v>5400</v>
      </c>
      <c r="E13" s="37">
        <f t="shared" si="11"/>
        <v>5994</v>
      </c>
      <c r="F13" s="35">
        <v>10200</v>
      </c>
      <c r="G13" s="36">
        <f t="shared" si="0"/>
        <v>0.41235294117647053</v>
      </c>
      <c r="H13" s="37">
        <v>20300</v>
      </c>
      <c r="I13" s="36">
        <f t="shared" si="1"/>
        <v>0.70472906403940894</v>
      </c>
      <c r="J13" s="37">
        <v>8300</v>
      </c>
      <c r="K13" s="36">
        <f t="shared" si="2"/>
        <v>0.27783132530120475</v>
      </c>
      <c r="L13" s="54">
        <v>9200</v>
      </c>
      <c r="M13" s="36">
        <f t="shared" si="3"/>
        <v>0.34847826086956518</v>
      </c>
      <c r="N13" s="38">
        <v>6081</v>
      </c>
      <c r="O13" s="58">
        <f t="shared" si="12"/>
        <v>6749.91</v>
      </c>
      <c r="P13" s="86">
        <v>9200</v>
      </c>
      <c r="Q13" s="139">
        <f t="shared" si="4"/>
        <v>0.26631413043478258</v>
      </c>
      <c r="R13" s="144">
        <v>10400</v>
      </c>
      <c r="S13" s="97">
        <f t="shared" si="5"/>
        <v>0.35097019230769239</v>
      </c>
      <c r="T13" s="135">
        <v>11500</v>
      </c>
      <c r="U13" s="52">
        <f t="shared" si="6"/>
        <v>0.413051304347826</v>
      </c>
      <c r="V13" s="83">
        <v>13400</v>
      </c>
      <c r="W13" s="52">
        <f t="shared" si="7"/>
        <v>0.49627537313432829</v>
      </c>
      <c r="X13" s="83">
        <v>16800</v>
      </c>
      <c r="Y13" s="52">
        <f t="shared" si="8"/>
        <v>0.5982196428571428</v>
      </c>
      <c r="Z13" s="83">
        <v>22800</v>
      </c>
      <c r="AA13" s="52">
        <f t="shared" si="9"/>
        <v>0.70395131578947368</v>
      </c>
      <c r="AB13" s="112">
        <f t="shared" si="10"/>
        <v>8600</v>
      </c>
    </row>
    <row r="14" spans="1:28" ht="24.75" customHeight="1" x14ac:dyDescent="0.25">
      <c r="A14" s="40" t="s">
        <v>489</v>
      </c>
      <c r="B14" s="43" t="s">
        <v>368</v>
      </c>
      <c r="C14" s="42">
        <v>8997035600430</v>
      </c>
      <c r="D14" s="37">
        <v>7548.06</v>
      </c>
      <c r="E14" s="37">
        <f t="shared" si="11"/>
        <v>8378.3466000000008</v>
      </c>
      <c r="F14" s="35">
        <v>14300</v>
      </c>
      <c r="G14" s="36">
        <f t="shared" si="0"/>
        <v>0.41410163636363623</v>
      </c>
      <c r="H14" s="37">
        <v>28400</v>
      </c>
      <c r="I14" s="36">
        <f t="shared" si="1"/>
        <v>0.70498779577464787</v>
      </c>
      <c r="J14" s="37">
        <v>10500</v>
      </c>
      <c r="K14" s="36">
        <f t="shared" si="2"/>
        <v>0.20206222857142841</v>
      </c>
      <c r="L14" s="54">
        <v>12900</v>
      </c>
      <c r="M14" s="36">
        <f t="shared" si="3"/>
        <v>0.3505157674418603</v>
      </c>
      <c r="N14" s="38">
        <v>6799.9989999999998</v>
      </c>
      <c r="O14" s="58">
        <f t="shared" si="12"/>
        <v>7547.9988899999998</v>
      </c>
      <c r="P14" s="86">
        <v>10500</v>
      </c>
      <c r="Q14" s="139">
        <f t="shared" si="4"/>
        <v>0.28114296285714274</v>
      </c>
      <c r="R14" s="144">
        <v>12899</v>
      </c>
      <c r="S14" s="97">
        <f t="shared" si="5"/>
        <v>0.41483844561593913</v>
      </c>
      <c r="T14" s="135">
        <v>14300</v>
      </c>
      <c r="U14" s="52">
        <f t="shared" si="6"/>
        <v>0.47216790979020967</v>
      </c>
      <c r="V14" s="82">
        <v>15000</v>
      </c>
      <c r="W14" s="52">
        <f t="shared" si="7"/>
        <v>0.49680007399999992</v>
      </c>
      <c r="X14" s="82">
        <v>18800</v>
      </c>
      <c r="Y14" s="52">
        <f t="shared" si="8"/>
        <v>0.5985106973404255</v>
      </c>
      <c r="Z14" s="82">
        <v>24800</v>
      </c>
      <c r="AA14" s="52">
        <f t="shared" si="9"/>
        <v>0.6956452060483872</v>
      </c>
      <c r="AB14" s="111">
        <f t="shared" si="10"/>
        <v>10800</v>
      </c>
    </row>
    <row r="15" spans="1:28" ht="25.5" customHeight="1" x14ac:dyDescent="0.25">
      <c r="A15" s="40" t="s">
        <v>490</v>
      </c>
      <c r="B15" s="43" t="s">
        <v>29</v>
      </c>
      <c r="C15" s="42">
        <v>8999988888842</v>
      </c>
      <c r="D15" s="33">
        <v>5400</v>
      </c>
      <c r="E15" s="37">
        <f t="shared" si="11"/>
        <v>5994</v>
      </c>
      <c r="F15" s="35">
        <v>10200</v>
      </c>
      <c r="G15" s="36">
        <f t="shared" si="0"/>
        <v>0.41235294117647053</v>
      </c>
      <c r="H15" s="37">
        <v>20300</v>
      </c>
      <c r="I15" s="36">
        <f t="shared" si="1"/>
        <v>0.70472906403940894</v>
      </c>
      <c r="J15" s="37">
        <v>8300</v>
      </c>
      <c r="K15" s="36">
        <f t="shared" si="2"/>
        <v>0.27783132530120475</v>
      </c>
      <c r="L15" s="54">
        <v>9200</v>
      </c>
      <c r="M15" s="36">
        <f t="shared" si="3"/>
        <v>0.34847826086956518</v>
      </c>
      <c r="N15" s="38">
        <v>6081</v>
      </c>
      <c r="O15" s="58">
        <f t="shared" si="12"/>
        <v>6749.91</v>
      </c>
      <c r="P15" s="86">
        <v>9200</v>
      </c>
      <c r="Q15" s="139">
        <f t="shared" si="4"/>
        <v>0.26631413043478258</v>
      </c>
      <c r="R15" s="144">
        <v>10400</v>
      </c>
      <c r="S15" s="97">
        <f t="shared" si="5"/>
        <v>0.35097019230769239</v>
      </c>
      <c r="T15" s="135">
        <v>11400</v>
      </c>
      <c r="U15" s="52">
        <f t="shared" si="6"/>
        <v>0.40790263157894741</v>
      </c>
      <c r="V15" s="82">
        <v>13600</v>
      </c>
      <c r="W15" s="52">
        <f t="shared" si="7"/>
        <v>0.50368308823529395</v>
      </c>
      <c r="X15" s="82">
        <v>16700</v>
      </c>
      <c r="Y15" s="52">
        <f t="shared" si="8"/>
        <v>0.59581377245508982</v>
      </c>
      <c r="Z15" s="82">
        <v>22800</v>
      </c>
      <c r="AA15" s="52">
        <f t="shared" si="9"/>
        <v>0.70395131578947368</v>
      </c>
      <c r="AB15" s="111">
        <f t="shared" si="10"/>
        <v>8600</v>
      </c>
    </row>
    <row r="16" spans="1:28" ht="24" customHeight="1" x14ac:dyDescent="0.25">
      <c r="A16" s="40" t="s">
        <v>491</v>
      </c>
      <c r="B16" s="43" t="s">
        <v>25</v>
      </c>
      <c r="C16" s="45" t="s">
        <v>159</v>
      </c>
      <c r="D16" s="37">
        <v>2290</v>
      </c>
      <c r="E16" s="37">
        <f t="shared" si="11"/>
        <v>2541.9</v>
      </c>
      <c r="F16" s="35">
        <v>4300</v>
      </c>
      <c r="G16" s="36">
        <f t="shared" si="0"/>
        <v>0.40886046511627899</v>
      </c>
      <c r="H16" s="37">
        <v>8600</v>
      </c>
      <c r="I16" s="36">
        <f t="shared" si="1"/>
        <v>0.70443023255813952</v>
      </c>
      <c r="J16" s="33">
        <v>4500</v>
      </c>
      <c r="K16" s="36">
        <f t="shared" si="2"/>
        <v>0.43513333333333326</v>
      </c>
      <c r="L16" s="54">
        <v>3900</v>
      </c>
      <c r="M16" s="36">
        <f t="shared" si="3"/>
        <v>0.34823076923076918</v>
      </c>
      <c r="N16" s="38">
        <v>2583</v>
      </c>
      <c r="O16" s="58">
        <f t="shared" si="12"/>
        <v>2867.13</v>
      </c>
      <c r="P16" s="86">
        <v>4500</v>
      </c>
      <c r="Q16" s="139">
        <f t="shared" si="4"/>
        <v>0.36285999999999996</v>
      </c>
      <c r="R16" s="144">
        <v>4400</v>
      </c>
      <c r="S16" s="97">
        <f t="shared" si="5"/>
        <v>0.34837954545454536</v>
      </c>
      <c r="T16" s="135">
        <v>4900</v>
      </c>
      <c r="U16" s="52">
        <f t="shared" si="6"/>
        <v>0.4148714285714285</v>
      </c>
      <c r="V16" s="82">
        <v>5700</v>
      </c>
      <c r="W16" s="52">
        <f t="shared" si="7"/>
        <v>0.49699473684210527</v>
      </c>
      <c r="X16" s="82">
        <v>7200</v>
      </c>
      <c r="Y16" s="52">
        <f t="shared" si="8"/>
        <v>0.60178749999999992</v>
      </c>
      <c r="Z16" s="82">
        <v>9600</v>
      </c>
      <c r="AA16" s="52">
        <f t="shared" si="9"/>
        <v>0.70134062499999994</v>
      </c>
      <c r="AB16" s="111">
        <f t="shared" si="10"/>
        <v>4800</v>
      </c>
    </row>
    <row r="17" spans="1:28" ht="24" customHeight="1" x14ac:dyDescent="0.25">
      <c r="A17" s="40" t="s">
        <v>492</v>
      </c>
      <c r="B17" s="43" t="s">
        <v>449</v>
      </c>
      <c r="C17" s="42">
        <v>8992761111588</v>
      </c>
      <c r="D17" s="37">
        <v>4673.41</v>
      </c>
      <c r="E17" s="37">
        <f t="shared" si="11"/>
        <v>5187.4850999999999</v>
      </c>
      <c r="F17" s="35">
        <v>8800</v>
      </c>
      <c r="G17" s="36">
        <f t="shared" si="0"/>
        <v>0.41051305681818179</v>
      </c>
      <c r="H17" s="37">
        <v>17500</v>
      </c>
      <c r="I17" s="36">
        <f t="shared" si="1"/>
        <v>0.70357228000000005</v>
      </c>
      <c r="J17" s="33">
        <v>6500</v>
      </c>
      <c r="K17" s="36">
        <f t="shared" si="2"/>
        <v>0.20192536923076915</v>
      </c>
      <c r="L17" s="54">
        <v>8000</v>
      </c>
      <c r="M17" s="36">
        <f t="shared" si="3"/>
        <v>0.35156436250000006</v>
      </c>
      <c r="N17" s="38">
        <v>5150</v>
      </c>
      <c r="O17" s="58">
        <f>(N17*11%)+N17</f>
        <v>5716.5</v>
      </c>
      <c r="P17" s="129">
        <v>7500</v>
      </c>
      <c r="Q17" s="139">
        <f t="shared" si="4"/>
        <v>0.23779999999999987</v>
      </c>
      <c r="R17" s="144">
        <v>9200</v>
      </c>
      <c r="S17" s="97">
        <f t="shared" si="5"/>
        <v>0.378641304347826</v>
      </c>
      <c r="T17" s="135">
        <v>10000</v>
      </c>
      <c r="U17" s="52">
        <f t="shared" si="6"/>
        <v>0.42835000000000006</v>
      </c>
      <c r="V17" s="82">
        <v>11400</v>
      </c>
      <c r="W17" s="52">
        <f t="shared" si="7"/>
        <v>0.49855263157894741</v>
      </c>
      <c r="X17" s="82">
        <v>14200</v>
      </c>
      <c r="Y17" s="52">
        <f t="shared" si="8"/>
        <v>0.59742957746478875</v>
      </c>
      <c r="Z17" s="82">
        <v>19000</v>
      </c>
      <c r="AA17" s="52">
        <f t="shared" si="9"/>
        <v>0.69913157894736844</v>
      </c>
      <c r="AB17" s="111">
        <f t="shared" si="10"/>
        <v>6800</v>
      </c>
    </row>
    <row r="18" spans="1:28" ht="21.75" customHeight="1" x14ac:dyDescent="0.25">
      <c r="A18" s="40" t="s">
        <v>493</v>
      </c>
      <c r="B18" s="43" t="s">
        <v>424</v>
      </c>
      <c r="C18" s="42">
        <v>8992761111519</v>
      </c>
      <c r="D18" s="37">
        <v>4707</v>
      </c>
      <c r="E18" s="37">
        <f t="shared" si="11"/>
        <v>5224.7700000000004</v>
      </c>
      <c r="F18" s="35">
        <v>8900</v>
      </c>
      <c r="G18" s="36">
        <f t="shared" si="0"/>
        <v>0.41294719101123595</v>
      </c>
      <c r="H18" s="37">
        <v>17200</v>
      </c>
      <c r="I18" s="36">
        <f t="shared" si="1"/>
        <v>0.69623430232558137</v>
      </c>
      <c r="J18" s="33">
        <v>6500</v>
      </c>
      <c r="K18" s="36">
        <f t="shared" si="2"/>
        <v>0.19618923076923067</v>
      </c>
      <c r="L18" s="54">
        <v>8100</v>
      </c>
      <c r="M18" s="36">
        <f t="shared" si="3"/>
        <v>0.35496666666666665</v>
      </c>
      <c r="N18" s="38">
        <v>5150.1440000000002</v>
      </c>
      <c r="O18" s="58">
        <f>(N18*11%)+N18</f>
        <v>5716.6598400000003</v>
      </c>
      <c r="P18" s="129">
        <v>7500</v>
      </c>
      <c r="Q18" s="139">
        <f t="shared" si="4"/>
        <v>0.23777868799999985</v>
      </c>
      <c r="R18" s="144">
        <v>9200</v>
      </c>
      <c r="S18" s="97">
        <f t="shared" si="5"/>
        <v>0.37862393043478254</v>
      </c>
      <c r="T18" s="135">
        <v>10000</v>
      </c>
      <c r="U18" s="52">
        <f t="shared" si="6"/>
        <v>0.42833401599999998</v>
      </c>
      <c r="V18" s="82">
        <v>11400</v>
      </c>
      <c r="W18" s="52">
        <f t="shared" si="7"/>
        <v>0.49853861052631576</v>
      </c>
      <c r="X18" s="82">
        <v>14200</v>
      </c>
      <c r="Y18" s="52">
        <f t="shared" si="8"/>
        <v>0.59741832112676052</v>
      </c>
      <c r="Z18" s="82">
        <v>19000</v>
      </c>
      <c r="AA18" s="52">
        <f t="shared" si="9"/>
        <v>0.69912316631578941</v>
      </c>
      <c r="AB18" s="111">
        <f t="shared" si="10"/>
        <v>6800</v>
      </c>
    </row>
    <row r="19" spans="1:28" ht="22.5" customHeight="1" x14ac:dyDescent="0.25">
      <c r="A19" s="40" t="s">
        <v>494</v>
      </c>
      <c r="B19" s="43" t="s">
        <v>375</v>
      </c>
      <c r="C19" s="45" t="s">
        <v>155</v>
      </c>
      <c r="D19" s="37">
        <v>4359.2299999999996</v>
      </c>
      <c r="E19" s="37">
        <f t="shared" si="11"/>
        <v>4838.7452999999996</v>
      </c>
      <c r="F19" s="35">
        <v>8200</v>
      </c>
      <c r="G19" s="36">
        <f t="shared" si="0"/>
        <v>0.40990910975609751</v>
      </c>
      <c r="H19" s="37">
        <v>16400</v>
      </c>
      <c r="I19" s="36">
        <f t="shared" si="1"/>
        <v>0.7049545548780487</v>
      </c>
      <c r="J19" s="33">
        <v>8000</v>
      </c>
      <c r="K19" s="36">
        <f t="shared" si="2"/>
        <v>0.39515683750000002</v>
      </c>
      <c r="L19" s="54">
        <v>7500</v>
      </c>
      <c r="M19" s="36">
        <f t="shared" si="3"/>
        <v>0.35483396</v>
      </c>
      <c r="N19" s="38">
        <v>4884</v>
      </c>
      <c r="O19" s="58">
        <f t="shared" si="12"/>
        <v>5421.24</v>
      </c>
      <c r="P19" s="126">
        <v>8000</v>
      </c>
      <c r="Q19" s="139">
        <f t="shared" si="4"/>
        <v>0.32234499999999999</v>
      </c>
      <c r="R19" s="144">
        <v>8699</v>
      </c>
      <c r="S19" s="97">
        <f t="shared" si="5"/>
        <v>0.37679733302678459</v>
      </c>
      <c r="T19" s="135">
        <v>9221</v>
      </c>
      <c r="U19" s="52">
        <f t="shared" si="6"/>
        <v>0.41207678126016689</v>
      </c>
      <c r="V19" s="103">
        <v>10800</v>
      </c>
      <c r="W19" s="52">
        <f t="shared" si="7"/>
        <v>0.49803333333333322</v>
      </c>
      <c r="X19" s="82">
        <v>13400</v>
      </c>
      <c r="Y19" s="52">
        <f t="shared" si="8"/>
        <v>0.59542985074626864</v>
      </c>
      <c r="Z19" s="82">
        <v>18000</v>
      </c>
      <c r="AA19" s="52">
        <f t="shared" si="9"/>
        <v>0.69882</v>
      </c>
      <c r="AB19" s="111">
        <f t="shared" si="10"/>
        <v>8300</v>
      </c>
    </row>
    <row r="20" spans="1:28" ht="21" customHeight="1" x14ac:dyDescent="0.25">
      <c r="A20" s="40" t="s">
        <v>495</v>
      </c>
      <c r="B20" s="75" t="s">
        <v>400</v>
      </c>
      <c r="C20" s="42">
        <v>8996001305119</v>
      </c>
      <c r="D20" s="37">
        <v>1531.53</v>
      </c>
      <c r="E20" s="37">
        <f t="shared" si="11"/>
        <v>1699.9983</v>
      </c>
      <c r="F20" s="35">
        <v>2900</v>
      </c>
      <c r="G20" s="36">
        <f t="shared" si="0"/>
        <v>0.41379368965517238</v>
      </c>
      <c r="H20" s="37">
        <v>5700</v>
      </c>
      <c r="I20" s="36">
        <f t="shared" si="1"/>
        <v>0.70175468421052645</v>
      </c>
      <c r="J20" s="37">
        <v>2999</v>
      </c>
      <c r="K20" s="36">
        <f t="shared" si="2"/>
        <v>0.43314494831610534</v>
      </c>
      <c r="L20" s="54">
        <v>2600</v>
      </c>
      <c r="M20" s="36">
        <f t="shared" si="3"/>
        <v>0.34615450000000003</v>
      </c>
      <c r="N20" s="38">
        <v>1531.53</v>
      </c>
      <c r="O20" s="58">
        <f t="shared" si="12"/>
        <v>1699.9983</v>
      </c>
      <c r="P20" s="130">
        <v>3499</v>
      </c>
      <c r="Q20" s="139">
        <f t="shared" si="4"/>
        <v>0.5141473849671333</v>
      </c>
      <c r="R20" s="144">
        <v>3499</v>
      </c>
      <c r="S20" s="97">
        <f t="shared" si="5"/>
        <v>0.5141473849671333</v>
      </c>
      <c r="T20" s="135">
        <v>3499</v>
      </c>
      <c r="U20" s="52">
        <f t="shared" si="6"/>
        <v>0.5141473849671333</v>
      </c>
      <c r="V20" s="82">
        <v>3499</v>
      </c>
      <c r="W20" s="52">
        <f t="shared" si="7"/>
        <v>0.5141473849671333</v>
      </c>
      <c r="X20" s="82">
        <v>4200</v>
      </c>
      <c r="Y20" s="52">
        <f t="shared" si="8"/>
        <v>0.5952385</v>
      </c>
      <c r="Z20" s="82">
        <v>5600</v>
      </c>
      <c r="AA20" s="52">
        <f t="shared" si="9"/>
        <v>0.69642887499999995</v>
      </c>
      <c r="AB20" s="111">
        <f t="shared" si="10"/>
        <v>3299</v>
      </c>
    </row>
    <row r="21" spans="1:28" ht="24.75" customHeight="1" x14ac:dyDescent="0.25">
      <c r="A21" s="40" t="s">
        <v>496</v>
      </c>
      <c r="B21" s="43" t="s">
        <v>379</v>
      </c>
      <c r="C21" s="42">
        <v>8997204306590</v>
      </c>
      <c r="D21" s="37">
        <v>2117.12</v>
      </c>
      <c r="E21" s="37">
        <f t="shared" si="11"/>
        <v>2350.0032000000001</v>
      </c>
      <c r="F21" s="35">
        <v>4000</v>
      </c>
      <c r="G21" s="36">
        <f t="shared" si="0"/>
        <v>0.41249920000000001</v>
      </c>
      <c r="H21" s="37">
        <v>7900</v>
      </c>
      <c r="I21" s="36">
        <f t="shared" si="1"/>
        <v>0.70253124050632909</v>
      </c>
      <c r="J21" s="37">
        <v>3200</v>
      </c>
      <c r="K21" s="36">
        <f t="shared" si="2"/>
        <v>0.26562400000000003</v>
      </c>
      <c r="L21" s="54">
        <v>3600</v>
      </c>
      <c r="M21" s="36">
        <f t="shared" si="3"/>
        <v>0.34722133333333327</v>
      </c>
      <c r="N21" s="38">
        <v>2117.11</v>
      </c>
      <c r="O21" s="58">
        <f t="shared" si="12"/>
        <v>2349.9920999999999</v>
      </c>
      <c r="P21" s="130">
        <v>3200</v>
      </c>
      <c r="Q21" s="139">
        <f t="shared" si="4"/>
        <v>0.26562746874999993</v>
      </c>
      <c r="R21" s="144">
        <v>3600</v>
      </c>
      <c r="S21" s="97">
        <f t="shared" si="5"/>
        <v>0.34722441666666654</v>
      </c>
      <c r="T21" s="135">
        <v>4000</v>
      </c>
      <c r="U21" s="52">
        <f t="shared" si="6"/>
        <v>0.41250197499999997</v>
      </c>
      <c r="V21" s="82">
        <v>4700</v>
      </c>
      <c r="W21" s="52">
        <f t="shared" si="7"/>
        <v>0.50000168085106367</v>
      </c>
      <c r="X21" s="82">
        <v>5900</v>
      </c>
      <c r="Y21" s="52">
        <f t="shared" si="8"/>
        <v>0.60169625423728812</v>
      </c>
      <c r="Z21" s="82">
        <v>7800</v>
      </c>
      <c r="AA21" s="52">
        <f t="shared" si="9"/>
        <v>0.69871896153846147</v>
      </c>
      <c r="AB21" s="113">
        <f t="shared" si="10"/>
        <v>3500</v>
      </c>
    </row>
    <row r="22" spans="1:28" ht="27.75" customHeight="1" x14ac:dyDescent="0.25">
      <c r="A22" s="40" t="s">
        <v>497</v>
      </c>
      <c r="B22" s="41" t="s">
        <v>680</v>
      </c>
      <c r="C22" s="47" t="s">
        <v>4</v>
      </c>
      <c r="D22" s="38">
        <v>4504.5039999999999</v>
      </c>
      <c r="E22" s="37">
        <f t="shared" si="11"/>
        <v>4999.9994399999996</v>
      </c>
      <c r="F22" s="46">
        <v>7500</v>
      </c>
      <c r="G22" s="36">
        <f t="shared" si="0"/>
        <v>0.33333340799999989</v>
      </c>
      <c r="H22" s="56">
        <v>16500</v>
      </c>
      <c r="I22" s="36">
        <f t="shared" si="1"/>
        <v>0.69696973090909076</v>
      </c>
      <c r="J22" s="37">
        <v>7500</v>
      </c>
      <c r="K22" s="36">
        <f t="shared" si="2"/>
        <v>0.33333340799999989</v>
      </c>
      <c r="L22" s="54">
        <v>7500</v>
      </c>
      <c r="M22" s="36">
        <f t="shared" si="3"/>
        <v>0.33333340799999989</v>
      </c>
      <c r="N22" s="38">
        <v>4504.5039999999999</v>
      </c>
      <c r="O22" s="58">
        <f t="shared" si="12"/>
        <v>4999.9994399999996</v>
      </c>
      <c r="P22" s="86">
        <v>7500</v>
      </c>
      <c r="Q22" s="139">
        <f t="shared" si="4"/>
        <v>0.33333340799999989</v>
      </c>
      <c r="R22" s="144">
        <v>7800</v>
      </c>
      <c r="S22" s="97">
        <f t="shared" si="5"/>
        <v>0.3589744307692308</v>
      </c>
      <c r="T22" s="135">
        <v>8500</v>
      </c>
      <c r="U22" s="52">
        <f t="shared" si="6"/>
        <v>0.41176477176470588</v>
      </c>
      <c r="V22" s="82">
        <v>10000</v>
      </c>
      <c r="W22" s="52">
        <f t="shared" si="7"/>
        <v>0.50000005600000008</v>
      </c>
      <c r="X22" s="82">
        <v>12500</v>
      </c>
      <c r="Y22" s="52">
        <f t="shared" si="8"/>
        <v>0.60000004480000002</v>
      </c>
      <c r="Z22" s="82">
        <v>16800</v>
      </c>
      <c r="AA22" s="52">
        <f t="shared" si="9"/>
        <v>0.70238098571428564</v>
      </c>
      <c r="AB22" s="111">
        <f t="shared" si="10"/>
        <v>7800</v>
      </c>
    </row>
    <row r="23" spans="1:28" ht="25.5" customHeight="1" x14ac:dyDescent="0.25">
      <c r="A23" s="40" t="s">
        <v>498</v>
      </c>
      <c r="B23" s="48" t="s">
        <v>696</v>
      </c>
      <c r="C23" s="47">
        <v>8996001600610</v>
      </c>
      <c r="D23" s="37">
        <v>3153.15</v>
      </c>
      <c r="E23" s="37">
        <f t="shared" si="11"/>
        <v>3499.9965000000002</v>
      </c>
      <c r="F23" s="35">
        <v>5900</v>
      </c>
      <c r="G23" s="36">
        <f t="shared" si="0"/>
        <v>0.40678025423728814</v>
      </c>
      <c r="H23" s="37">
        <v>11800</v>
      </c>
      <c r="I23" s="36">
        <f t="shared" si="1"/>
        <v>0.70339012711864413</v>
      </c>
      <c r="J23" s="37">
        <v>5500</v>
      </c>
      <c r="K23" s="36">
        <f t="shared" si="2"/>
        <v>0.36363699999999993</v>
      </c>
      <c r="L23" s="54">
        <v>5400</v>
      </c>
      <c r="M23" s="36">
        <f t="shared" si="3"/>
        <v>0.35185249999999985</v>
      </c>
      <c r="N23" s="38">
        <v>3153</v>
      </c>
      <c r="O23" s="58">
        <f t="shared" si="12"/>
        <v>3499.83</v>
      </c>
      <c r="P23" s="130">
        <v>7000</v>
      </c>
      <c r="Q23" s="139">
        <f t="shared" si="4"/>
        <v>0.50002428571428559</v>
      </c>
      <c r="R23" s="144">
        <v>7000</v>
      </c>
      <c r="S23" s="97">
        <f t="shared" si="5"/>
        <v>0.50002428571428559</v>
      </c>
      <c r="T23" s="136">
        <v>7000</v>
      </c>
      <c r="U23" s="52">
        <f t="shared" si="6"/>
        <v>0.50002428571428559</v>
      </c>
      <c r="V23" s="103">
        <v>7000</v>
      </c>
      <c r="W23" s="52">
        <f t="shared" si="7"/>
        <v>0.50002428571428559</v>
      </c>
      <c r="X23" s="82">
        <v>8800</v>
      </c>
      <c r="Y23" s="52">
        <f t="shared" si="8"/>
        <v>0.6022920454545454</v>
      </c>
      <c r="Z23" s="82">
        <v>11600</v>
      </c>
      <c r="AA23" s="52">
        <f t="shared" si="9"/>
        <v>0.69829051724137925</v>
      </c>
      <c r="AB23" s="111">
        <f t="shared" si="10"/>
        <v>5800</v>
      </c>
    </row>
    <row r="24" spans="1:28" ht="27" customHeight="1" x14ac:dyDescent="0.25">
      <c r="A24" s="40" t="s">
        <v>499</v>
      </c>
      <c r="B24" s="76" t="s">
        <v>701</v>
      </c>
      <c r="C24" s="45">
        <v>8996006853394</v>
      </c>
      <c r="D24" s="37">
        <v>4466.96</v>
      </c>
      <c r="E24" s="37">
        <f t="shared" si="11"/>
        <v>4958.3256000000001</v>
      </c>
      <c r="F24" s="35">
        <v>8400</v>
      </c>
      <c r="G24" s="36">
        <f t="shared" si="0"/>
        <v>0.40972314285714273</v>
      </c>
      <c r="H24" s="37">
        <v>16800</v>
      </c>
      <c r="I24" s="36">
        <f t="shared" si="1"/>
        <v>0.70486157142857142</v>
      </c>
      <c r="J24" s="37">
        <v>7500</v>
      </c>
      <c r="K24" s="36">
        <f t="shared" si="2"/>
        <v>0.33888991999999984</v>
      </c>
      <c r="L24" s="54">
        <v>7600</v>
      </c>
      <c r="M24" s="36">
        <f t="shared" si="3"/>
        <v>0.34758873684210523</v>
      </c>
      <c r="N24" s="38">
        <v>4729.72</v>
      </c>
      <c r="O24" s="58">
        <f t="shared" si="12"/>
        <v>5249.9892</v>
      </c>
      <c r="P24" s="86">
        <v>7600</v>
      </c>
      <c r="Q24" s="139">
        <f t="shared" si="4"/>
        <v>0.309211947368421</v>
      </c>
      <c r="R24" s="125">
        <v>8200</v>
      </c>
      <c r="S24" s="97">
        <f t="shared" si="5"/>
        <v>0.35975741463414618</v>
      </c>
      <c r="T24" s="135">
        <v>8900</v>
      </c>
      <c r="U24" s="52">
        <f t="shared" si="6"/>
        <v>0.41011357303370782</v>
      </c>
      <c r="V24" s="82">
        <v>10400</v>
      </c>
      <c r="W24" s="52">
        <f t="shared" si="7"/>
        <v>0.49519334615384619</v>
      </c>
      <c r="X24" s="82">
        <v>13000</v>
      </c>
      <c r="Y24" s="52">
        <f t="shared" si="8"/>
        <v>0.59615467692307689</v>
      </c>
      <c r="Z24" s="82">
        <v>17600</v>
      </c>
      <c r="AA24" s="52">
        <f t="shared" si="9"/>
        <v>0.70170515909090903</v>
      </c>
      <c r="AB24" s="111">
        <f t="shared" si="10"/>
        <v>7800</v>
      </c>
    </row>
    <row r="25" spans="1:28" ht="27.75" customHeight="1" x14ac:dyDescent="0.25">
      <c r="A25" s="40" t="s">
        <v>500</v>
      </c>
      <c r="B25" s="41" t="s">
        <v>702</v>
      </c>
      <c r="C25" s="45">
        <v>8886008101336</v>
      </c>
      <c r="D25" s="37">
        <v>1652</v>
      </c>
      <c r="E25" s="37">
        <f t="shared" si="11"/>
        <v>1833.72</v>
      </c>
      <c r="F25" s="35">
        <v>3300</v>
      </c>
      <c r="G25" s="36">
        <f t="shared" si="0"/>
        <v>0.44432727272727279</v>
      </c>
      <c r="H25" s="37">
        <v>10000</v>
      </c>
      <c r="I25" s="36">
        <f t="shared" si="1"/>
        <v>0.81662800000000002</v>
      </c>
      <c r="J25" s="37">
        <v>2999</v>
      </c>
      <c r="K25" s="36">
        <f t="shared" si="2"/>
        <v>0.38855618539513159</v>
      </c>
      <c r="L25" s="54">
        <v>2800</v>
      </c>
      <c r="M25" s="36">
        <f t="shared" si="3"/>
        <v>0.34509999999999991</v>
      </c>
      <c r="N25" s="120">
        <v>1652</v>
      </c>
      <c r="O25" s="79">
        <f t="shared" si="12"/>
        <v>1833.72</v>
      </c>
      <c r="P25" s="86">
        <v>3200</v>
      </c>
      <c r="Q25" s="139">
        <f t="shared" si="4"/>
        <v>0.42696250000000002</v>
      </c>
      <c r="R25" s="125">
        <v>3200</v>
      </c>
      <c r="S25" s="97">
        <f t="shared" si="5"/>
        <v>0.42696250000000002</v>
      </c>
      <c r="T25" s="135">
        <v>3800</v>
      </c>
      <c r="U25" s="52">
        <f t="shared" si="6"/>
        <v>0.51744210526315781</v>
      </c>
      <c r="V25" s="82">
        <v>3800</v>
      </c>
      <c r="W25" s="52">
        <f t="shared" si="7"/>
        <v>0.51744210526315781</v>
      </c>
      <c r="X25" s="82">
        <v>4600</v>
      </c>
      <c r="Y25" s="52">
        <f t="shared" si="8"/>
        <v>0.60136521739130433</v>
      </c>
      <c r="Z25" s="82">
        <v>6100</v>
      </c>
      <c r="AA25" s="52">
        <f t="shared" si="9"/>
        <v>0.69939016393442621</v>
      </c>
      <c r="AB25" s="111">
        <f t="shared" si="10"/>
        <v>3299</v>
      </c>
    </row>
    <row r="26" spans="1:28" ht="30" customHeight="1" x14ac:dyDescent="0.25">
      <c r="A26" s="40" t="s">
        <v>501</v>
      </c>
      <c r="B26" s="41" t="s">
        <v>311</v>
      </c>
      <c r="C26" s="49" t="s">
        <v>327</v>
      </c>
      <c r="D26" s="37">
        <v>4466.96</v>
      </c>
      <c r="E26" s="57">
        <f t="shared" si="11"/>
        <v>4958.3256000000001</v>
      </c>
      <c r="F26" s="35">
        <v>8400</v>
      </c>
      <c r="G26" s="36">
        <f t="shared" si="0"/>
        <v>0.40972314285714273</v>
      </c>
      <c r="H26" s="37">
        <v>16800</v>
      </c>
      <c r="I26" s="36">
        <f t="shared" si="1"/>
        <v>0.70486157142857142</v>
      </c>
      <c r="J26" s="37">
        <v>6500</v>
      </c>
      <c r="K26" s="36">
        <f t="shared" si="2"/>
        <v>0.23718067692307684</v>
      </c>
      <c r="L26" s="54">
        <v>7600</v>
      </c>
      <c r="M26" s="36">
        <f t="shared" si="3"/>
        <v>0.34758873684210523</v>
      </c>
      <c r="N26" s="38">
        <v>4467</v>
      </c>
      <c r="O26" s="58">
        <f t="shared" si="12"/>
        <v>4958.37</v>
      </c>
      <c r="P26" s="129">
        <v>6999</v>
      </c>
      <c r="Q26" s="139">
        <f t="shared" si="4"/>
        <v>0.29156022288898409</v>
      </c>
      <c r="R26" s="147">
        <v>8499</v>
      </c>
      <c r="S26" s="97">
        <f t="shared" si="5"/>
        <v>0.41659371690787145</v>
      </c>
      <c r="T26" s="135">
        <v>8499</v>
      </c>
      <c r="U26" s="52">
        <f t="shared" si="6"/>
        <v>0.41659371690787145</v>
      </c>
      <c r="V26" s="82">
        <v>9900</v>
      </c>
      <c r="W26" s="52">
        <f t="shared" si="7"/>
        <v>0.49915454545454541</v>
      </c>
      <c r="X26" s="82">
        <v>12400</v>
      </c>
      <c r="Y26" s="52">
        <f t="shared" si="8"/>
        <v>0.60013145161290316</v>
      </c>
      <c r="Z26" s="82">
        <v>16400</v>
      </c>
      <c r="AA26" s="52">
        <f t="shared" si="9"/>
        <v>0.69766036585365843</v>
      </c>
      <c r="AB26" s="111">
        <f t="shared" si="10"/>
        <v>6800</v>
      </c>
    </row>
    <row r="27" spans="1:28" ht="30" customHeight="1" x14ac:dyDescent="0.25">
      <c r="A27" s="40" t="s">
        <v>502</v>
      </c>
      <c r="B27" s="41" t="s">
        <v>312</v>
      </c>
      <c r="C27" s="49" t="s">
        <v>328</v>
      </c>
      <c r="D27" s="37">
        <v>4466.96</v>
      </c>
      <c r="E27" s="37">
        <f t="shared" si="11"/>
        <v>4958.3256000000001</v>
      </c>
      <c r="F27" s="35">
        <v>8400</v>
      </c>
      <c r="G27" s="36">
        <f t="shared" si="0"/>
        <v>0.40972314285714273</v>
      </c>
      <c r="H27" s="37">
        <v>16800</v>
      </c>
      <c r="I27" s="36">
        <f t="shared" si="1"/>
        <v>0.70486157142857142</v>
      </c>
      <c r="J27" s="37">
        <v>6500</v>
      </c>
      <c r="K27" s="36">
        <f t="shared" si="2"/>
        <v>0.23718067692307684</v>
      </c>
      <c r="L27" s="54">
        <v>7600</v>
      </c>
      <c r="M27" s="36">
        <f t="shared" si="3"/>
        <v>0.34758873684210523</v>
      </c>
      <c r="N27" s="38">
        <v>4467</v>
      </c>
      <c r="O27" s="58">
        <f t="shared" si="12"/>
        <v>4958.37</v>
      </c>
      <c r="P27" s="129">
        <v>6999</v>
      </c>
      <c r="Q27" s="139">
        <f t="shared" si="4"/>
        <v>0.29156022288898409</v>
      </c>
      <c r="R27" s="147">
        <v>8499</v>
      </c>
      <c r="S27" s="97">
        <f t="shared" si="5"/>
        <v>0.41659371690787145</v>
      </c>
      <c r="T27" s="136">
        <v>8499</v>
      </c>
      <c r="U27" s="52">
        <f t="shared" si="6"/>
        <v>0.41659371690787145</v>
      </c>
      <c r="V27" s="82">
        <v>9900</v>
      </c>
      <c r="W27" s="52">
        <f t="shared" si="7"/>
        <v>0.49915454545454541</v>
      </c>
      <c r="X27" s="82">
        <v>12400</v>
      </c>
      <c r="Y27" s="52">
        <f t="shared" si="8"/>
        <v>0.60013145161290316</v>
      </c>
      <c r="Z27" s="82">
        <v>16400</v>
      </c>
      <c r="AA27" s="52">
        <f t="shared" si="9"/>
        <v>0.69766036585365843</v>
      </c>
      <c r="AB27" s="111">
        <f t="shared" si="10"/>
        <v>6800</v>
      </c>
    </row>
    <row r="28" spans="1:28" ht="32.25" customHeight="1" x14ac:dyDescent="0.25">
      <c r="A28" s="40" t="s">
        <v>503</v>
      </c>
      <c r="B28" s="43" t="s">
        <v>384</v>
      </c>
      <c r="C28" s="42">
        <v>8998866200813</v>
      </c>
      <c r="D28" s="37">
        <v>3933.93</v>
      </c>
      <c r="E28" s="37">
        <f t="shared" si="11"/>
        <v>4366.6623</v>
      </c>
      <c r="F28" s="35">
        <v>7400</v>
      </c>
      <c r="G28" s="36">
        <f t="shared" si="0"/>
        <v>0.40991049999999996</v>
      </c>
      <c r="H28" s="37">
        <v>14800</v>
      </c>
      <c r="I28" s="36">
        <f t="shared" si="1"/>
        <v>0.70495525000000003</v>
      </c>
      <c r="J28" s="37">
        <v>6300</v>
      </c>
      <c r="K28" s="36">
        <f t="shared" si="2"/>
        <v>0.3068789999999999</v>
      </c>
      <c r="L28" s="54">
        <v>6700</v>
      </c>
      <c r="M28" s="36">
        <f t="shared" si="3"/>
        <v>0.34825935820895521</v>
      </c>
      <c r="N28" s="38">
        <v>3933.9630000000002</v>
      </c>
      <c r="O28" s="58">
        <f t="shared" si="12"/>
        <v>4366.6989300000005</v>
      </c>
      <c r="P28" s="86">
        <v>6300</v>
      </c>
      <c r="Q28" s="139">
        <f t="shared" si="4"/>
        <v>0.30687318571428562</v>
      </c>
      <c r="R28" s="147">
        <v>6700</v>
      </c>
      <c r="S28" s="97">
        <f t="shared" si="5"/>
        <v>0.348253891044776</v>
      </c>
      <c r="T28" s="136">
        <v>7400</v>
      </c>
      <c r="U28" s="52">
        <f t="shared" si="6"/>
        <v>0.4099055499999999</v>
      </c>
      <c r="V28" s="82">
        <v>8800</v>
      </c>
      <c r="W28" s="52">
        <f t="shared" si="7"/>
        <v>0.50378421249999994</v>
      </c>
      <c r="X28" s="82">
        <v>10800</v>
      </c>
      <c r="Y28" s="52">
        <f t="shared" si="8"/>
        <v>0.59567602499999994</v>
      </c>
      <c r="Z28" s="82">
        <v>14400</v>
      </c>
      <c r="AA28" s="52">
        <f t="shared" si="9"/>
        <v>0.69675701874999996</v>
      </c>
      <c r="AB28" s="111">
        <f t="shared" si="10"/>
        <v>6600</v>
      </c>
    </row>
    <row r="29" spans="1:28" ht="24" customHeight="1" x14ac:dyDescent="0.25">
      <c r="A29" s="40" t="s">
        <v>504</v>
      </c>
      <c r="B29" s="41" t="s">
        <v>398</v>
      </c>
      <c r="C29" s="117" t="s">
        <v>329</v>
      </c>
      <c r="D29" s="37">
        <v>8100</v>
      </c>
      <c r="E29" s="37">
        <f t="shared" si="11"/>
        <v>8991</v>
      </c>
      <c r="F29" s="35">
        <v>15300</v>
      </c>
      <c r="G29" s="36">
        <f t="shared" si="0"/>
        <v>0.41235294117647059</v>
      </c>
      <c r="H29" s="37">
        <v>30400</v>
      </c>
      <c r="I29" s="36">
        <f t="shared" si="1"/>
        <v>0.7042434210526316</v>
      </c>
      <c r="J29" s="37">
        <v>12000</v>
      </c>
      <c r="K29" s="36">
        <f t="shared" si="2"/>
        <v>0.25074999999999992</v>
      </c>
      <c r="L29" s="54">
        <v>13900</v>
      </c>
      <c r="M29" s="36">
        <f t="shared" si="3"/>
        <v>0.35316546762589929</v>
      </c>
      <c r="N29" s="121">
        <v>8510</v>
      </c>
      <c r="O29" s="78">
        <f t="shared" si="12"/>
        <v>9446.1</v>
      </c>
      <c r="P29" s="86">
        <v>12999</v>
      </c>
      <c r="Q29" s="139">
        <f t="shared" si="4"/>
        <v>0.27332102469420716</v>
      </c>
      <c r="R29" s="147">
        <v>14999</v>
      </c>
      <c r="S29" s="97">
        <f t="shared" si="5"/>
        <v>0.3702180145343022</v>
      </c>
      <c r="T29" s="135">
        <v>15900</v>
      </c>
      <c r="U29" s="52">
        <f t="shared" si="6"/>
        <v>0.40590566037735842</v>
      </c>
      <c r="V29" s="82">
        <v>18800</v>
      </c>
      <c r="W29" s="52">
        <f t="shared" si="7"/>
        <v>0.49754787234042541</v>
      </c>
      <c r="X29" s="82">
        <v>23400</v>
      </c>
      <c r="Y29" s="52">
        <f t="shared" si="8"/>
        <v>0.59632051282051279</v>
      </c>
      <c r="Z29" s="82">
        <v>32000</v>
      </c>
      <c r="AA29" s="52">
        <f t="shared" si="9"/>
        <v>0.70480937500000007</v>
      </c>
      <c r="AB29" s="111">
        <f t="shared" si="10"/>
        <v>12300</v>
      </c>
    </row>
    <row r="30" spans="1:28" ht="24" customHeight="1" x14ac:dyDescent="0.25">
      <c r="A30" s="40" t="s">
        <v>505</v>
      </c>
      <c r="B30" s="43" t="s">
        <v>156</v>
      </c>
      <c r="C30" s="53">
        <v>8996006857705</v>
      </c>
      <c r="D30" s="37">
        <v>2139.64</v>
      </c>
      <c r="E30" s="37">
        <f t="shared" si="11"/>
        <v>2375.0003999999999</v>
      </c>
      <c r="F30" s="35">
        <v>4000</v>
      </c>
      <c r="G30" s="36">
        <f t="shared" si="0"/>
        <v>0.40624990000000005</v>
      </c>
      <c r="H30" s="37">
        <v>8000</v>
      </c>
      <c r="I30" s="36">
        <f t="shared" si="1"/>
        <v>0.70312494999999997</v>
      </c>
      <c r="J30" s="37">
        <v>3800</v>
      </c>
      <c r="K30" s="36">
        <f t="shared" si="2"/>
        <v>0.37499989473684209</v>
      </c>
      <c r="L30" s="54">
        <v>3700</v>
      </c>
      <c r="M30" s="36">
        <f t="shared" si="3"/>
        <v>0.35810799999999998</v>
      </c>
      <c r="N30" s="38">
        <v>2214</v>
      </c>
      <c r="O30" s="58">
        <f t="shared" si="12"/>
        <v>2457.54</v>
      </c>
      <c r="P30" s="86">
        <v>3700</v>
      </c>
      <c r="Q30" s="139">
        <f t="shared" si="4"/>
        <v>0.33579999999999993</v>
      </c>
      <c r="R30" s="148">
        <v>3900</v>
      </c>
      <c r="S30" s="97">
        <f t="shared" si="5"/>
        <v>0.36986153846153841</v>
      </c>
      <c r="T30" s="135">
        <v>4200</v>
      </c>
      <c r="U30" s="52">
        <f t="shared" si="6"/>
        <v>0.4148714285714285</v>
      </c>
      <c r="V30" s="82">
        <v>4900</v>
      </c>
      <c r="W30" s="52">
        <f t="shared" si="7"/>
        <v>0.4984612244897958</v>
      </c>
      <c r="X30" s="82">
        <v>6200</v>
      </c>
      <c r="Y30" s="52">
        <f t="shared" si="8"/>
        <v>0.60362258064516128</v>
      </c>
      <c r="Z30" s="82">
        <v>8200</v>
      </c>
      <c r="AA30" s="52">
        <f t="shared" si="9"/>
        <v>0.70029999999999992</v>
      </c>
      <c r="AB30" s="111">
        <f t="shared" si="10"/>
        <v>4100</v>
      </c>
    </row>
    <row r="31" spans="1:28" ht="22.5" customHeight="1" x14ac:dyDescent="0.25">
      <c r="A31" s="40" t="s">
        <v>506</v>
      </c>
      <c r="B31" s="43" t="s">
        <v>452</v>
      </c>
      <c r="C31" s="53">
        <v>8996006856715</v>
      </c>
      <c r="D31" s="37">
        <v>5292.79</v>
      </c>
      <c r="E31" s="37">
        <f t="shared" si="11"/>
        <v>5874.9969000000001</v>
      </c>
      <c r="F31" s="35">
        <v>10000</v>
      </c>
      <c r="G31" s="36">
        <f t="shared" si="0"/>
        <v>0.41250031000000004</v>
      </c>
      <c r="H31" s="37">
        <v>19900</v>
      </c>
      <c r="I31" s="36">
        <f t="shared" si="1"/>
        <v>0.70477402512562792</v>
      </c>
      <c r="J31" s="37">
        <v>8700</v>
      </c>
      <c r="K31" s="36">
        <f t="shared" si="2"/>
        <v>0.32471299999999997</v>
      </c>
      <c r="L31" s="54">
        <v>9100</v>
      </c>
      <c r="M31" s="36">
        <f t="shared" si="3"/>
        <v>0.35439594505494493</v>
      </c>
      <c r="N31" s="38">
        <v>5442.94</v>
      </c>
      <c r="O31" s="58">
        <f t="shared" si="12"/>
        <v>6041.6633999999995</v>
      </c>
      <c r="P31" s="86">
        <v>8700</v>
      </c>
      <c r="Q31" s="139">
        <f t="shared" si="4"/>
        <v>0.30555593103448281</v>
      </c>
      <c r="R31" s="147">
        <v>9500</v>
      </c>
      <c r="S31" s="97">
        <f t="shared" si="5"/>
        <v>0.36403543157894735</v>
      </c>
      <c r="T31" s="135">
        <v>10200</v>
      </c>
      <c r="U31" s="52">
        <f t="shared" si="6"/>
        <v>0.40768005882352942</v>
      </c>
      <c r="V31" s="82">
        <v>12000</v>
      </c>
      <c r="W31" s="52">
        <f t="shared" si="7"/>
        <v>0.49652805000000005</v>
      </c>
      <c r="X31" s="82">
        <v>15000</v>
      </c>
      <c r="Y31" s="52">
        <f t="shared" si="8"/>
        <v>0.59722243999999991</v>
      </c>
      <c r="Z31" s="82">
        <v>20000</v>
      </c>
      <c r="AA31" s="52">
        <f t="shared" si="9"/>
        <v>0.69791683000000015</v>
      </c>
      <c r="AB31" s="111">
        <f t="shared" si="10"/>
        <v>9000</v>
      </c>
    </row>
    <row r="32" spans="1:28" ht="24" customHeight="1" x14ac:dyDescent="0.25">
      <c r="A32" s="40" t="s">
        <v>507</v>
      </c>
      <c r="B32" s="43" t="s">
        <v>158</v>
      </c>
      <c r="C32" s="53">
        <v>8996006853431</v>
      </c>
      <c r="D32" s="37">
        <v>4466.97</v>
      </c>
      <c r="E32" s="37">
        <f t="shared" si="11"/>
        <v>4958.3366999999998</v>
      </c>
      <c r="F32" s="35">
        <v>8400</v>
      </c>
      <c r="G32" s="36">
        <f t="shared" si="0"/>
        <v>0.40972182142857128</v>
      </c>
      <c r="H32" s="37">
        <v>16800</v>
      </c>
      <c r="I32" s="36">
        <f t="shared" si="1"/>
        <v>0.70486091071428558</v>
      </c>
      <c r="J32" s="37">
        <v>7700</v>
      </c>
      <c r="K32" s="36">
        <f t="shared" si="2"/>
        <v>0.35606016883116864</v>
      </c>
      <c r="L32" s="54">
        <v>7700</v>
      </c>
      <c r="M32" s="36">
        <f t="shared" si="3"/>
        <v>0.35606016883116864</v>
      </c>
      <c r="N32" s="38">
        <v>4729.72</v>
      </c>
      <c r="O32" s="58">
        <f t="shared" si="12"/>
        <v>5249.9892</v>
      </c>
      <c r="P32" s="86">
        <v>7600</v>
      </c>
      <c r="Q32" s="139">
        <f t="shared" si="4"/>
        <v>0.309211947368421</v>
      </c>
      <c r="R32" s="147">
        <v>8200</v>
      </c>
      <c r="S32" s="97">
        <f t="shared" si="5"/>
        <v>0.35975741463414618</v>
      </c>
      <c r="T32" s="135">
        <v>8900</v>
      </c>
      <c r="U32" s="52">
        <f t="shared" si="6"/>
        <v>0.41011357303370782</v>
      </c>
      <c r="V32" s="82">
        <v>10400</v>
      </c>
      <c r="W32" s="52">
        <f t="shared" si="7"/>
        <v>0.49519334615384619</v>
      </c>
      <c r="X32" s="82">
        <v>13000</v>
      </c>
      <c r="Y32" s="52">
        <f t="shared" si="8"/>
        <v>0.59615467692307689</v>
      </c>
      <c r="Z32" s="82">
        <v>17600</v>
      </c>
      <c r="AA32" s="52">
        <f t="shared" si="9"/>
        <v>0.70170515909090903</v>
      </c>
      <c r="AB32" s="111">
        <f t="shared" si="10"/>
        <v>8000</v>
      </c>
    </row>
    <row r="33" spans="1:28" ht="29.25" customHeight="1" x14ac:dyDescent="0.25">
      <c r="A33" s="40" t="s">
        <v>508</v>
      </c>
      <c r="B33" s="43" t="s">
        <v>387</v>
      </c>
      <c r="C33" s="53">
        <v>8996006853387</v>
      </c>
      <c r="D33" s="37">
        <v>4466.97</v>
      </c>
      <c r="E33" s="37">
        <f t="shared" si="11"/>
        <v>4958.3366999999998</v>
      </c>
      <c r="F33" s="35">
        <v>8400</v>
      </c>
      <c r="G33" s="36">
        <f t="shared" si="0"/>
        <v>0.40972182142857128</v>
      </c>
      <c r="H33" s="37">
        <v>16800</v>
      </c>
      <c r="I33" s="36">
        <f t="shared" si="1"/>
        <v>0.70486091071428558</v>
      </c>
      <c r="J33" s="37">
        <v>7700</v>
      </c>
      <c r="K33" s="36">
        <f t="shared" si="2"/>
        <v>0.35606016883116864</v>
      </c>
      <c r="L33" s="54">
        <v>7700</v>
      </c>
      <c r="M33" s="36">
        <f t="shared" si="3"/>
        <v>0.35606016883116864</v>
      </c>
      <c r="N33" s="38">
        <v>4729.72</v>
      </c>
      <c r="O33" s="58">
        <f t="shared" si="12"/>
        <v>5249.9892</v>
      </c>
      <c r="P33" s="86">
        <v>7600</v>
      </c>
      <c r="Q33" s="139">
        <f t="shared" si="4"/>
        <v>0.309211947368421</v>
      </c>
      <c r="R33" s="147">
        <v>8200</v>
      </c>
      <c r="S33" s="97">
        <f t="shared" si="5"/>
        <v>0.35975741463414618</v>
      </c>
      <c r="T33" s="135">
        <v>8900</v>
      </c>
      <c r="U33" s="52">
        <f t="shared" si="6"/>
        <v>0.41011357303370782</v>
      </c>
      <c r="V33" s="103">
        <v>10400</v>
      </c>
      <c r="W33" s="52">
        <f t="shared" si="7"/>
        <v>0.49519334615384619</v>
      </c>
      <c r="X33" s="82">
        <v>13000</v>
      </c>
      <c r="Y33" s="52">
        <f t="shared" si="8"/>
        <v>0.59615467692307689</v>
      </c>
      <c r="Z33" s="82">
        <v>17600</v>
      </c>
      <c r="AA33" s="52">
        <f t="shared" si="9"/>
        <v>0.70170515909090903</v>
      </c>
      <c r="AB33" s="111">
        <f t="shared" si="10"/>
        <v>8000</v>
      </c>
    </row>
    <row r="34" spans="1:28" ht="27.75" customHeight="1" x14ac:dyDescent="0.25">
      <c r="A34" s="40" t="s">
        <v>509</v>
      </c>
      <c r="B34" s="41" t="s">
        <v>314</v>
      </c>
      <c r="C34" s="49" t="s">
        <v>330</v>
      </c>
      <c r="D34" s="37">
        <v>7800</v>
      </c>
      <c r="E34" s="37">
        <f t="shared" si="11"/>
        <v>8658</v>
      </c>
      <c r="F34" s="35">
        <v>14700</v>
      </c>
      <c r="G34" s="36">
        <f t="shared" si="0"/>
        <v>0.41102040816326518</v>
      </c>
      <c r="H34" s="37">
        <v>29300</v>
      </c>
      <c r="I34" s="36">
        <f t="shared" si="1"/>
        <v>0.70450511945392491</v>
      </c>
      <c r="J34" s="37">
        <v>11000</v>
      </c>
      <c r="K34" s="36">
        <f t="shared" si="2"/>
        <v>0.21290909090909085</v>
      </c>
      <c r="L34" s="54">
        <v>13400</v>
      </c>
      <c r="M34" s="36">
        <f t="shared" si="3"/>
        <v>0.35388059701492536</v>
      </c>
      <c r="N34" s="38">
        <v>9350</v>
      </c>
      <c r="O34" s="58">
        <f t="shared" si="12"/>
        <v>10378.5</v>
      </c>
      <c r="P34" s="129">
        <v>14000</v>
      </c>
      <c r="Q34" s="139">
        <f t="shared" si="4"/>
        <v>0.25867857142857131</v>
      </c>
      <c r="R34" s="147">
        <v>15900</v>
      </c>
      <c r="S34" s="97">
        <f t="shared" si="5"/>
        <v>0.34726415094339619</v>
      </c>
      <c r="T34" s="135">
        <v>17500</v>
      </c>
      <c r="U34" s="52">
        <f t="shared" si="6"/>
        <v>0.40694285714285705</v>
      </c>
      <c r="V34" s="82">
        <v>20600</v>
      </c>
      <c r="W34" s="52">
        <f t="shared" si="7"/>
        <v>0.49618932038834951</v>
      </c>
      <c r="X34" s="82">
        <v>25800</v>
      </c>
      <c r="Y34" s="52">
        <f t="shared" si="8"/>
        <v>0.59773255813953474</v>
      </c>
      <c r="Z34" s="82">
        <v>35000</v>
      </c>
      <c r="AA34" s="52">
        <f t="shared" si="9"/>
        <v>0.70347142857142853</v>
      </c>
      <c r="AB34" s="111">
        <f t="shared" si="10"/>
        <v>11300</v>
      </c>
    </row>
    <row r="35" spans="1:28" ht="23.25" customHeight="1" x14ac:dyDescent="0.25">
      <c r="A35" s="40" t="s">
        <v>510</v>
      </c>
      <c r="B35" s="43" t="s">
        <v>388</v>
      </c>
      <c r="C35" s="42">
        <v>8992761139018</v>
      </c>
      <c r="D35" s="37">
        <v>2235.37</v>
      </c>
      <c r="E35" s="37">
        <f t="shared" si="11"/>
        <v>2481.2606999999998</v>
      </c>
      <c r="F35" s="35">
        <v>4500</v>
      </c>
      <c r="G35" s="36">
        <f t="shared" si="0"/>
        <v>0.44860873333333329</v>
      </c>
      <c r="H35" s="37">
        <v>10000</v>
      </c>
      <c r="I35" s="36">
        <f t="shared" si="1"/>
        <v>0.75187393000000013</v>
      </c>
      <c r="J35" s="37">
        <v>4000</v>
      </c>
      <c r="K35" s="36">
        <f t="shared" si="2"/>
        <v>0.379684825</v>
      </c>
      <c r="L35" s="54">
        <v>3800</v>
      </c>
      <c r="M35" s="36">
        <f t="shared" si="3"/>
        <v>0.34703665789473681</v>
      </c>
      <c r="N35" s="38">
        <v>2235.13</v>
      </c>
      <c r="O35" s="58">
        <f t="shared" si="12"/>
        <v>2480.9943000000003</v>
      </c>
      <c r="P35" s="126">
        <v>4000</v>
      </c>
      <c r="Q35" s="139">
        <f t="shared" si="4"/>
        <v>0.37975142499999998</v>
      </c>
      <c r="R35" s="147">
        <v>4000</v>
      </c>
      <c r="S35" s="97">
        <f t="shared" si="5"/>
        <v>0.37975142499999998</v>
      </c>
      <c r="T35" s="135">
        <v>4500</v>
      </c>
      <c r="U35" s="52">
        <f t="shared" si="6"/>
        <v>0.44866793333333327</v>
      </c>
      <c r="V35" s="82">
        <v>5000</v>
      </c>
      <c r="W35" s="52">
        <f t="shared" si="7"/>
        <v>0.50380113999999998</v>
      </c>
      <c r="X35" s="82">
        <v>6200</v>
      </c>
      <c r="Y35" s="52">
        <f t="shared" si="8"/>
        <v>0.59983962903225796</v>
      </c>
      <c r="Z35" s="82">
        <v>8400</v>
      </c>
      <c r="AA35" s="52">
        <f t="shared" si="9"/>
        <v>0.70464353571428562</v>
      </c>
      <c r="AB35" s="111">
        <f t="shared" si="10"/>
        <v>4300</v>
      </c>
    </row>
    <row r="36" spans="1:28" ht="24.75" customHeight="1" x14ac:dyDescent="0.25">
      <c r="A36" s="40" t="s">
        <v>511</v>
      </c>
      <c r="B36" s="41" t="s">
        <v>397</v>
      </c>
      <c r="C36" s="49" t="s">
        <v>331</v>
      </c>
      <c r="D36" s="37">
        <v>3982</v>
      </c>
      <c r="E36" s="37">
        <f t="shared" si="11"/>
        <v>4420.0200000000004</v>
      </c>
      <c r="F36" s="35">
        <v>7500</v>
      </c>
      <c r="G36" s="36">
        <f t="shared" si="0"/>
        <v>0.41066399999999986</v>
      </c>
      <c r="H36" s="37">
        <v>14900</v>
      </c>
      <c r="I36" s="36">
        <f t="shared" si="1"/>
        <v>0.70335436241610738</v>
      </c>
      <c r="J36" s="37">
        <v>5900</v>
      </c>
      <c r="K36" s="36">
        <f t="shared" si="2"/>
        <v>0.25084406779661017</v>
      </c>
      <c r="L36" s="54">
        <v>6800</v>
      </c>
      <c r="M36" s="36">
        <f t="shared" si="3"/>
        <v>0.34999705882352927</v>
      </c>
      <c r="N36" s="38">
        <v>4032</v>
      </c>
      <c r="O36" s="58">
        <f t="shared" si="12"/>
        <v>4475.5200000000004</v>
      </c>
      <c r="P36" s="86">
        <v>7499</v>
      </c>
      <c r="Q36" s="139">
        <f t="shared" si="4"/>
        <v>0.4031844245899453</v>
      </c>
      <c r="R36" s="147">
        <v>7600</v>
      </c>
      <c r="S36" s="97">
        <f t="shared" si="5"/>
        <v>0.41111578947368416</v>
      </c>
      <c r="T36" s="136">
        <v>7600</v>
      </c>
      <c r="U36" s="52">
        <f t="shared" si="6"/>
        <v>0.41111578947368416</v>
      </c>
      <c r="V36" s="82">
        <v>9000</v>
      </c>
      <c r="W36" s="52">
        <f t="shared" si="7"/>
        <v>0.50271999999999994</v>
      </c>
      <c r="X36" s="82">
        <v>11200</v>
      </c>
      <c r="Y36" s="52">
        <f t="shared" si="8"/>
        <v>0.60039999999999993</v>
      </c>
      <c r="Z36" s="82">
        <v>14800</v>
      </c>
      <c r="AA36" s="52">
        <f t="shared" si="9"/>
        <v>0.6976</v>
      </c>
      <c r="AB36" s="111">
        <f t="shared" si="10"/>
        <v>6200</v>
      </c>
    </row>
    <row r="37" spans="1:28" ht="27.75" customHeight="1" x14ac:dyDescent="0.25">
      <c r="A37" s="40" t="s">
        <v>512</v>
      </c>
      <c r="B37" s="75" t="s">
        <v>698</v>
      </c>
      <c r="C37" s="42">
        <v>8991002502338</v>
      </c>
      <c r="D37" s="33">
        <v>7916.25</v>
      </c>
      <c r="E37" s="37">
        <f t="shared" ref="E37:E64" si="13">(D37*11%)+D37</f>
        <v>8787.0375000000004</v>
      </c>
      <c r="F37" s="35">
        <v>15000</v>
      </c>
      <c r="G37" s="36">
        <f t="shared" si="0"/>
        <v>0.41419749999999989</v>
      </c>
      <c r="H37" s="37">
        <v>29700</v>
      </c>
      <c r="I37" s="36">
        <f t="shared" si="1"/>
        <v>0.70414015151515152</v>
      </c>
      <c r="J37" s="33">
        <v>12000</v>
      </c>
      <c r="K37" s="36">
        <f t="shared" si="2"/>
        <v>0.26774687499999994</v>
      </c>
      <c r="L37" s="54">
        <v>13600</v>
      </c>
      <c r="M37" s="36">
        <f t="shared" si="3"/>
        <v>0.35389430147058815</v>
      </c>
      <c r="N37" s="122">
        <v>8232.9279279279272</v>
      </c>
      <c r="O37" s="58">
        <f t="shared" ref="O37:O64" si="14">(N37*11%)+N37</f>
        <v>9138.5499999999993</v>
      </c>
      <c r="P37" s="125">
        <v>11400</v>
      </c>
      <c r="Q37" s="65">
        <f t="shared" si="4"/>
        <v>0.19837280701754392</v>
      </c>
      <c r="R37" s="147">
        <v>14000</v>
      </c>
      <c r="S37" s="97">
        <f t="shared" si="5"/>
        <v>0.34724642857142857</v>
      </c>
      <c r="T37" s="134">
        <v>15400</v>
      </c>
      <c r="U37" s="52">
        <f t="shared" si="6"/>
        <v>0.4065876623376623</v>
      </c>
      <c r="V37" s="82">
        <v>18400</v>
      </c>
      <c r="W37" s="52">
        <f t="shared" si="7"/>
        <v>0.50333967391304357</v>
      </c>
      <c r="X37" s="82">
        <v>22800</v>
      </c>
      <c r="Y37" s="52">
        <f t="shared" si="8"/>
        <v>0.59918640350877206</v>
      </c>
      <c r="Z37" s="82">
        <v>30000</v>
      </c>
      <c r="AA37" s="52">
        <f t="shared" si="9"/>
        <v>0.69538166666666668</v>
      </c>
      <c r="AB37" s="111">
        <f t="shared" si="10"/>
        <v>12300</v>
      </c>
    </row>
    <row r="38" spans="1:28" ht="22.5" customHeight="1" x14ac:dyDescent="0.25">
      <c r="A38" s="40" t="s">
        <v>645</v>
      </c>
      <c r="B38" s="75" t="s">
        <v>33</v>
      </c>
      <c r="C38" s="42">
        <v>8992718853806</v>
      </c>
      <c r="D38" s="33">
        <v>5980</v>
      </c>
      <c r="E38" s="37">
        <f t="shared" si="13"/>
        <v>6637.8</v>
      </c>
      <c r="F38" s="35">
        <v>11300</v>
      </c>
      <c r="G38" s="36">
        <f t="shared" si="0"/>
        <v>0.41258407079646015</v>
      </c>
      <c r="H38" s="37">
        <v>22000</v>
      </c>
      <c r="I38" s="36">
        <f t="shared" si="1"/>
        <v>0.69828181818181823</v>
      </c>
      <c r="J38" s="37">
        <v>8600</v>
      </c>
      <c r="K38" s="36">
        <f t="shared" si="2"/>
        <v>0.22816279069767434</v>
      </c>
      <c r="L38" s="54">
        <v>10200</v>
      </c>
      <c r="M38" s="36">
        <f t="shared" si="3"/>
        <v>0.34923529411764703</v>
      </c>
      <c r="N38" s="38">
        <v>6740</v>
      </c>
      <c r="O38" s="58">
        <f t="shared" si="14"/>
        <v>7481.4</v>
      </c>
      <c r="P38" s="86">
        <v>9400</v>
      </c>
      <c r="Q38" s="65">
        <f t="shared" si="4"/>
        <v>0.20410638297872327</v>
      </c>
      <c r="R38" s="147">
        <v>11500</v>
      </c>
      <c r="S38" s="97">
        <f t="shared" si="5"/>
        <v>0.34944347826086941</v>
      </c>
      <c r="T38" s="136">
        <v>12600</v>
      </c>
      <c r="U38" s="52">
        <f t="shared" si="6"/>
        <v>0.40623809523809512</v>
      </c>
      <c r="V38" s="82">
        <v>15000</v>
      </c>
      <c r="W38" s="52">
        <f t="shared" si="7"/>
        <v>0.50123999999999991</v>
      </c>
      <c r="X38" s="82">
        <v>18800</v>
      </c>
      <c r="Y38" s="52">
        <f t="shared" si="8"/>
        <v>0.60205319148936154</v>
      </c>
      <c r="Z38" s="82">
        <v>25000</v>
      </c>
      <c r="AA38" s="52">
        <f t="shared" si="9"/>
        <v>0.70074400000000003</v>
      </c>
      <c r="AB38" s="111">
        <f t="shared" si="10"/>
        <v>8900</v>
      </c>
    </row>
    <row r="39" spans="1:28" ht="29.25" customHeight="1" x14ac:dyDescent="0.25">
      <c r="A39" s="40" t="s">
        <v>513</v>
      </c>
      <c r="B39" s="75" t="s">
        <v>390</v>
      </c>
      <c r="C39" s="47">
        <v>8991002353084</v>
      </c>
      <c r="D39" s="37">
        <v>6667</v>
      </c>
      <c r="E39" s="37">
        <f t="shared" si="13"/>
        <v>7400.37</v>
      </c>
      <c r="F39" s="35">
        <v>12600</v>
      </c>
      <c r="G39" s="36">
        <f t="shared" si="0"/>
        <v>0.41266904761904749</v>
      </c>
      <c r="H39" s="37">
        <v>25000</v>
      </c>
      <c r="I39" s="36">
        <f t="shared" si="1"/>
        <v>0.70398520000000009</v>
      </c>
      <c r="J39" s="35">
        <v>9800</v>
      </c>
      <c r="K39" s="36">
        <f t="shared" si="2"/>
        <v>0.24486020408163253</v>
      </c>
      <c r="L39" s="54">
        <v>11400</v>
      </c>
      <c r="M39" s="36">
        <f t="shared" si="3"/>
        <v>0.35084473684210526</v>
      </c>
      <c r="N39" s="38">
        <v>6756.7560000000003</v>
      </c>
      <c r="O39" s="58">
        <f t="shared" si="14"/>
        <v>7499.9991600000003</v>
      </c>
      <c r="P39" s="86">
        <v>11499</v>
      </c>
      <c r="Q39" s="65">
        <f t="shared" si="4"/>
        <v>0.34776944429950418</v>
      </c>
      <c r="R39" s="147">
        <v>11500</v>
      </c>
      <c r="S39" s="97">
        <f t="shared" si="5"/>
        <v>0.34782615999999983</v>
      </c>
      <c r="T39" s="135">
        <v>12700</v>
      </c>
      <c r="U39" s="52">
        <f t="shared" si="6"/>
        <v>0.40944888503936999</v>
      </c>
      <c r="V39" s="82">
        <v>15000</v>
      </c>
      <c r="W39" s="52">
        <f t="shared" si="7"/>
        <v>0.50000005599999986</v>
      </c>
      <c r="X39" s="82">
        <v>18800</v>
      </c>
      <c r="Y39" s="52">
        <f t="shared" si="8"/>
        <v>0.60106387446808485</v>
      </c>
      <c r="Z39" s="82">
        <v>25000</v>
      </c>
      <c r="AA39" s="52">
        <f t="shared" si="9"/>
        <v>0.70000003359999996</v>
      </c>
      <c r="AB39" s="111">
        <f t="shared" si="10"/>
        <v>10100</v>
      </c>
    </row>
    <row r="40" spans="1:28" ht="22.5" customHeight="1" x14ac:dyDescent="0.25">
      <c r="A40" s="40" t="s">
        <v>514</v>
      </c>
      <c r="B40" s="43" t="s">
        <v>204</v>
      </c>
      <c r="C40" s="47">
        <v>8991002121003</v>
      </c>
      <c r="D40" s="37">
        <v>5162.16</v>
      </c>
      <c r="E40" s="37">
        <f t="shared" si="13"/>
        <v>5729.9975999999997</v>
      </c>
      <c r="F40" s="35">
        <v>9700</v>
      </c>
      <c r="G40" s="36">
        <f t="shared" si="0"/>
        <v>0.4092785979381442</v>
      </c>
      <c r="H40" s="37">
        <v>19400</v>
      </c>
      <c r="I40" s="36">
        <f t="shared" si="1"/>
        <v>0.70463929896907207</v>
      </c>
      <c r="J40" s="37">
        <v>7900</v>
      </c>
      <c r="K40" s="36">
        <f t="shared" si="2"/>
        <v>0.27468384810126578</v>
      </c>
      <c r="L40" s="54">
        <v>8800</v>
      </c>
      <c r="M40" s="36">
        <f t="shared" si="3"/>
        <v>0.34886390909090909</v>
      </c>
      <c r="N40" s="38">
        <v>5161</v>
      </c>
      <c r="O40" s="58">
        <f t="shared" si="14"/>
        <v>5728.71</v>
      </c>
      <c r="P40" s="86">
        <v>7900</v>
      </c>
      <c r="Q40" s="65">
        <f t="shared" si="4"/>
        <v>0.2748468354430379</v>
      </c>
      <c r="R40" s="147">
        <v>8800</v>
      </c>
      <c r="S40" s="97">
        <f t="shared" si="5"/>
        <v>0.34901022727272718</v>
      </c>
      <c r="T40" s="135">
        <v>9700</v>
      </c>
      <c r="U40" s="52">
        <f t="shared" si="6"/>
        <v>0.40941134020618541</v>
      </c>
      <c r="V40" s="82">
        <v>11400</v>
      </c>
      <c r="W40" s="52">
        <f t="shared" si="7"/>
        <v>0.49748157894736844</v>
      </c>
      <c r="X40" s="82">
        <v>14200</v>
      </c>
      <c r="Y40" s="52">
        <f t="shared" si="8"/>
        <v>0.59656971830985916</v>
      </c>
      <c r="Z40" s="82">
        <v>19000</v>
      </c>
      <c r="AA40" s="52">
        <f t="shared" si="9"/>
        <v>0.69848894736842093</v>
      </c>
      <c r="AB40" s="111">
        <f t="shared" si="10"/>
        <v>8200</v>
      </c>
    </row>
    <row r="41" spans="1:28" ht="25.5" customHeight="1" x14ac:dyDescent="0.25">
      <c r="A41" s="40" t="s">
        <v>515</v>
      </c>
      <c r="B41" s="43" t="s">
        <v>209</v>
      </c>
      <c r="C41" s="47">
        <v>8997035600928</v>
      </c>
      <c r="D41" s="37">
        <v>7548.06</v>
      </c>
      <c r="E41" s="37">
        <f t="shared" si="13"/>
        <v>8378.3466000000008</v>
      </c>
      <c r="F41" s="35">
        <v>14300</v>
      </c>
      <c r="G41" s="36">
        <f t="shared" si="0"/>
        <v>0.41410163636363623</v>
      </c>
      <c r="H41" s="37">
        <v>28400</v>
      </c>
      <c r="I41" s="36">
        <f t="shared" si="1"/>
        <v>0.70498779577464787</v>
      </c>
      <c r="J41" s="37">
        <v>10700</v>
      </c>
      <c r="K41" s="36">
        <f t="shared" si="2"/>
        <v>0.21697695327102801</v>
      </c>
      <c r="L41" s="54">
        <v>12900</v>
      </c>
      <c r="M41" s="36">
        <f t="shared" si="3"/>
        <v>0.3505157674418603</v>
      </c>
      <c r="N41" s="38">
        <v>6799.99</v>
      </c>
      <c r="O41" s="58">
        <f t="shared" si="14"/>
        <v>7547.9888999999994</v>
      </c>
      <c r="P41" s="86">
        <v>10700</v>
      </c>
      <c r="Q41" s="65">
        <f t="shared" si="4"/>
        <v>0.29458047663551407</v>
      </c>
      <c r="R41" s="147">
        <v>12899</v>
      </c>
      <c r="S41" s="97">
        <f t="shared" si="5"/>
        <v>0.41483922009458096</v>
      </c>
      <c r="T41" s="136">
        <v>14300</v>
      </c>
      <c r="U41" s="52">
        <f t="shared" si="6"/>
        <v>0.47216860839160829</v>
      </c>
      <c r="V41" s="82">
        <v>15000</v>
      </c>
      <c r="W41" s="52">
        <f t="shared" si="7"/>
        <v>0.49680073999999996</v>
      </c>
      <c r="X41" s="82">
        <v>19000</v>
      </c>
      <c r="Y41" s="52">
        <f t="shared" si="8"/>
        <v>0.60273742631578942</v>
      </c>
      <c r="Z41" s="82">
        <v>25000</v>
      </c>
      <c r="AA41" s="52">
        <f t="shared" si="9"/>
        <v>0.69808044400000002</v>
      </c>
      <c r="AB41" s="111">
        <f t="shared" si="10"/>
        <v>11000</v>
      </c>
    </row>
    <row r="42" spans="1:28" ht="30.75" customHeight="1" x14ac:dyDescent="0.25">
      <c r="A42" s="40" t="s">
        <v>516</v>
      </c>
      <c r="B42" s="43" t="s">
        <v>210</v>
      </c>
      <c r="C42" s="47">
        <v>8997035563476</v>
      </c>
      <c r="D42" s="37">
        <v>7548.06</v>
      </c>
      <c r="E42" s="37">
        <f t="shared" si="13"/>
        <v>8378.3466000000008</v>
      </c>
      <c r="F42" s="35">
        <v>14300</v>
      </c>
      <c r="G42" s="36">
        <f t="shared" si="0"/>
        <v>0.41410163636363623</v>
      </c>
      <c r="H42" s="37">
        <v>28400</v>
      </c>
      <c r="I42" s="36">
        <f t="shared" si="1"/>
        <v>0.70498779577464787</v>
      </c>
      <c r="J42" s="37">
        <v>10500</v>
      </c>
      <c r="K42" s="36">
        <f t="shared" si="2"/>
        <v>0.20206222857142841</v>
      </c>
      <c r="L42" s="54">
        <v>12900</v>
      </c>
      <c r="M42" s="36">
        <f t="shared" si="3"/>
        <v>0.3505157674418603</v>
      </c>
      <c r="N42" s="38">
        <v>6799.99</v>
      </c>
      <c r="O42" s="58">
        <f t="shared" si="14"/>
        <v>7547.9888999999994</v>
      </c>
      <c r="P42" s="86">
        <v>10500</v>
      </c>
      <c r="Q42" s="65">
        <f t="shared" si="4"/>
        <v>0.28114391428571422</v>
      </c>
      <c r="R42" s="147">
        <v>12899</v>
      </c>
      <c r="S42" s="97">
        <f t="shared" si="5"/>
        <v>0.41483922009458096</v>
      </c>
      <c r="T42" s="135">
        <v>14300</v>
      </c>
      <c r="U42" s="52">
        <f t="shared" si="6"/>
        <v>0.47216860839160829</v>
      </c>
      <c r="V42" s="82">
        <v>15000</v>
      </c>
      <c r="W42" s="52">
        <f t="shared" si="7"/>
        <v>0.49680073999999996</v>
      </c>
      <c r="X42" s="82">
        <v>19000</v>
      </c>
      <c r="Y42" s="52">
        <f t="shared" si="8"/>
        <v>0.60273742631578942</v>
      </c>
      <c r="Z42" s="82">
        <v>25000</v>
      </c>
      <c r="AA42" s="52">
        <f t="shared" si="9"/>
        <v>0.69808044400000002</v>
      </c>
      <c r="AB42" s="111">
        <f t="shared" si="10"/>
        <v>10800</v>
      </c>
    </row>
    <row r="43" spans="1:28" ht="26.25" customHeight="1" x14ac:dyDescent="0.25">
      <c r="A43" s="40" t="s">
        <v>517</v>
      </c>
      <c r="B43" s="75" t="s">
        <v>34</v>
      </c>
      <c r="C43" s="42">
        <v>8992718853813</v>
      </c>
      <c r="D43" s="37">
        <v>5980</v>
      </c>
      <c r="E43" s="37">
        <f t="shared" si="13"/>
        <v>6637.8</v>
      </c>
      <c r="F43" s="35">
        <v>11300</v>
      </c>
      <c r="G43" s="36">
        <f t="shared" si="0"/>
        <v>0.41258407079646015</v>
      </c>
      <c r="H43" s="37">
        <v>22500</v>
      </c>
      <c r="I43" s="36">
        <f t="shared" si="1"/>
        <v>0.70498666666666676</v>
      </c>
      <c r="J43" s="37">
        <v>8600</v>
      </c>
      <c r="K43" s="36">
        <f t="shared" si="2"/>
        <v>0.22816279069767434</v>
      </c>
      <c r="L43" s="54">
        <v>10200</v>
      </c>
      <c r="M43" s="36">
        <f t="shared" si="3"/>
        <v>0.34923529411764703</v>
      </c>
      <c r="N43" s="38">
        <v>6740</v>
      </c>
      <c r="O43" s="58">
        <f t="shared" si="14"/>
        <v>7481.4</v>
      </c>
      <c r="P43" s="86">
        <v>9400</v>
      </c>
      <c r="Q43" s="65">
        <f t="shared" si="4"/>
        <v>0.20410638297872327</v>
      </c>
      <c r="R43" s="147">
        <v>11500</v>
      </c>
      <c r="S43" s="97">
        <f t="shared" si="5"/>
        <v>0.34944347826086941</v>
      </c>
      <c r="T43" s="136">
        <v>12600</v>
      </c>
      <c r="U43" s="52">
        <f t="shared" si="6"/>
        <v>0.40623809523809512</v>
      </c>
      <c r="V43" s="82">
        <v>15000</v>
      </c>
      <c r="W43" s="52">
        <f t="shared" si="7"/>
        <v>0.50123999999999991</v>
      </c>
      <c r="X43" s="82">
        <v>18900</v>
      </c>
      <c r="Y43" s="52">
        <f t="shared" si="8"/>
        <v>0.60415873015873023</v>
      </c>
      <c r="Z43" s="82">
        <v>25000</v>
      </c>
      <c r="AA43" s="52">
        <f t="shared" si="9"/>
        <v>0.70074400000000003</v>
      </c>
      <c r="AB43" s="111">
        <f t="shared" si="10"/>
        <v>8900</v>
      </c>
    </row>
    <row r="44" spans="1:28" ht="26.25" customHeight="1" x14ac:dyDescent="0.25">
      <c r="A44" s="40" t="s">
        <v>518</v>
      </c>
      <c r="B44" s="75" t="s">
        <v>366</v>
      </c>
      <c r="C44" s="42">
        <v>8992709848408</v>
      </c>
      <c r="D44" s="37">
        <v>5245.45</v>
      </c>
      <c r="E44" s="37">
        <f t="shared" si="13"/>
        <v>5822.4494999999997</v>
      </c>
      <c r="F44" s="35">
        <v>9900</v>
      </c>
      <c r="G44" s="36">
        <f t="shared" si="0"/>
        <v>0.41187378787878787</v>
      </c>
      <c r="H44" s="37">
        <v>19700</v>
      </c>
      <c r="I44" s="36">
        <f t="shared" si="1"/>
        <v>0.70444418781725893</v>
      </c>
      <c r="J44" s="33">
        <v>7500</v>
      </c>
      <c r="K44" s="36">
        <f t="shared" si="2"/>
        <v>0.22367339999999991</v>
      </c>
      <c r="L44" s="54">
        <v>9000</v>
      </c>
      <c r="M44" s="36">
        <f t="shared" si="3"/>
        <v>0.35306116666666665</v>
      </c>
      <c r="N44" s="123">
        <v>5538</v>
      </c>
      <c r="O44" s="58">
        <f t="shared" si="14"/>
        <v>6147.18</v>
      </c>
      <c r="P44" s="86">
        <v>7700</v>
      </c>
      <c r="Q44" s="65">
        <f t="shared" si="4"/>
        <v>0.20166493506493496</v>
      </c>
      <c r="R44" s="147">
        <v>9400</v>
      </c>
      <c r="S44" s="97">
        <f t="shared" si="5"/>
        <v>0.34604468085106371</v>
      </c>
      <c r="T44" s="135">
        <v>10400</v>
      </c>
      <c r="U44" s="52">
        <f t="shared" si="6"/>
        <v>0.40892500000000004</v>
      </c>
      <c r="V44" s="82">
        <v>12400</v>
      </c>
      <c r="W44" s="52">
        <f t="shared" si="7"/>
        <v>0.50425967741935485</v>
      </c>
      <c r="X44" s="82">
        <v>15400</v>
      </c>
      <c r="Y44" s="52">
        <f t="shared" si="8"/>
        <v>0.60083246753246744</v>
      </c>
      <c r="Z44" s="82">
        <v>20500</v>
      </c>
      <c r="AA44" s="52">
        <f t="shared" si="9"/>
        <v>0.70013756097560964</v>
      </c>
      <c r="AB44" s="111">
        <f t="shared" si="10"/>
        <v>7800</v>
      </c>
    </row>
    <row r="45" spans="1:28" ht="27" customHeight="1" x14ac:dyDescent="0.25">
      <c r="A45" s="40" t="s">
        <v>519</v>
      </c>
      <c r="B45" s="75" t="s">
        <v>356</v>
      </c>
      <c r="C45" s="42">
        <v>8886013281481</v>
      </c>
      <c r="D45" s="37">
        <v>2917.12</v>
      </c>
      <c r="E45" s="37">
        <f t="shared" si="13"/>
        <v>3238.0032000000001</v>
      </c>
      <c r="F45" s="35">
        <v>5500</v>
      </c>
      <c r="G45" s="36">
        <f t="shared" si="0"/>
        <v>0.41127214545454543</v>
      </c>
      <c r="H45" s="37">
        <v>10900</v>
      </c>
      <c r="I45" s="36">
        <f t="shared" si="1"/>
        <v>0.70293548623853208</v>
      </c>
      <c r="J45" s="37">
        <v>5200</v>
      </c>
      <c r="K45" s="36">
        <f t="shared" si="2"/>
        <v>0.37730707692307702</v>
      </c>
      <c r="L45" s="54">
        <v>5000</v>
      </c>
      <c r="M45" s="36">
        <f t="shared" si="3"/>
        <v>0.35239936000000005</v>
      </c>
      <c r="N45" s="38">
        <v>3584</v>
      </c>
      <c r="O45" s="58">
        <f t="shared" si="14"/>
        <v>3978.24</v>
      </c>
      <c r="P45" s="86">
        <v>5500</v>
      </c>
      <c r="Q45" s="65">
        <f t="shared" si="4"/>
        <v>0.2766836363636363</v>
      </c>
      <c r="R45" s="147">
        <v>6100</v>
      </c>
      <c r="S45" s="97">
        <f t="shared" si="5"/>
        <v>0.34782950819672115</v>
      </c>
      <c r="T45" s="135">
        <v>6800</v>
      </c>
      <c r="U45" s="52">
        <f t="shared" si="6"/>
        <v>0.41496470588235285</v>
      </c>
      <c r="V45" s="82">
        <v>8000</v>
      </c>
      <c r="W45" s="52">
        <f t="shared" si="7"/>
        <v>0.50271999999999994</v>
      </c>
      <c r="X45" s="82">
        <v>10000</v>
      </c>
      <c r="Y45" s="52">
        <f t="shared" si="8"/>
        <v>0.60217600000000004</v>
      </c>
      <c r="Z45" s="82">
        <v>13400</v>
      </c>
      <c r="AA45" s="52">
        <f t="shared" si="9"/>
        <v>0.70311641791044766</v>
      </c>
      <c r="AB45" s="111">
        <f t="shared" si="10"/>
        <v>5500</v>
      </c>
    </row>
    <row r="46" spans="1:28" ht="25.5" customHeight="1" x14ac:dyDescent="0.25">
      <c r="A46" s="40" t="s">
        <v>520</v>
      </c>
      <c r="B46" s="75" t="s">
        <v>367</v>
      </c>
      <c r="C46" s="42">
        <v>8991001501097</v>
      </c>
      <c r="D46" s="37">
        <v>7358.53</v>
      </c>
      <c r="E46" s="37">
        <f t="shared" si="13"/>
        <v>8167.9682999999995</v>
      </c>
      <c r="F46" s="35">
        <v>13900</v>
      </c>
      <c r="G46" s="36">
        <f t="shared" si="0"/>
        <v>0.41237638129496407</v>
      </c>
      <c r="H46" s="37">
        <v>27600</v>
      </c>
      <c r="I46" s="36">
        <f t="shared" si="1"/>
        <v>0.70405911956521749</v>
      </c>
      <c r="J46" s="37">
        <v>11700</v>
      </c>
      <c r="K46" s="36">
        <f t="shared" si="2"/>
        <v>0.30188305128205123</v>
      </c>
      <c r="L46" s="54">
        <v>12600</v>
      </c>
      <c r="M46" s="36">
        <f t="shared" si="3"/>
        <v>0.35174854761904756</v>
      </c>
      <c r="N46" s="38">
        <v>7358</v>
      </c>
      <c r="O46" s="58">
        <f t="shared" si="14"/>
        <v>8167.38</v>
      </c>
      <c r="P46" s="86">
        <v>11700</v>
      </c>
      <c r="Q46" s="65">
        <f t="shared" si="4"/>
        <v>0.30193333333333333</v>
      </c>
      <c r="R46" s="147">
        <v>12500</v>
      </c>
      <c r="S46" s="97">
        <f t="shared" si="5"/>
        <v>0.34660959999999996</v>
      </c>
      <c r="T46" s="135">
        <v>13900</v>
      </c>
      <c r="U46" s="52">
        <f t="shared" si="6"/>
        <v>0.41241870503597122</v>
      </c>
      <c r="V46" s="82">
        <v>16400</v>
      </c>
      <c r="W46" s="52">
        <f t="shared" si="7"/>
        <v>0.50198902439024384</v>
      </c>
      <c r="X46" s="82">
        <v>20400</v>
      </c>
      <c r="Y46" s="52">
        <f t="shared" si="8"/>
        <v>0.59963823529411753</v>
      </c>
      <c r="Z46" s="82">
        <v>27000</v>
      </c>
      <c r="AA46" s="52">
        <f t="shared" si="9"/>
        <v>0.69750444444444437</v>
      </c>
      <c r="AB46" s="111">
        <f t="shared" ref="AB46:AB88" si="15">J46+300</f>
        <v>12000</v>
      </c>
    </row>
    <row r="47" spans="1:28" ht="27.75" customHeight="1" x14ac:dyDescent="0.25">
      <c r="A47" s="40" t="s">
        <v>646</v>
      </c>
      <c r="B47" s="43" t="s">
        <v>402</v>
      </c>
      <c r="C47" s="49" t="s">
        <v>403</v>
      </c>
      <c r="D47" s="37">
        <v>4696.7</v>
      </c>
      <c r="E47" s="37">
        <f t="shared" si="13"/>
        <v>5213.3369999999995</v>
      </c>
      <c r="F47" s="35">
        <v>8800</v>
      </c>
      <c r="G47" s="36">
        <f t="shared" si="0"/>
        <v>0.40757534090909087</v>
      </c>
      <c r="H47" s="33">
        <v>17500</v>
      </c>
      <c r="I47" s="36">
        <f t="shared" si="1"/>
        <v>0.70209502857142847</v>
      </c>
      <c r="J47" s="37">
        <v>7100</v>
      </c>
      <c r="K47" s="36">
        <f t="shared" si="2"/>
        <v>0.26572718309859156</v>
      </c>
      <c r="L47" s="54">
        <v>8800</v>
      </c>
      <c r="M47" s="36">
        <f t="shared" si="3"/>
        <v>0.40757534090909087</v>
      </c>
      <c r="N47" s="38">
        <v>4833.33</v>
      </c>
      <c r="O47" s="58">
        <f t="shared" si="14"/>
        <v>5364.9962999999998</v>
      </c>
      <c r="P47" s="86">
        <v>7500</v>
      </c>
      <c r="Q47" s="65">
        <f t="shared" si="4"/>
        <v>0.28466715999999992</v>
      </c>
      <c r="R47" s="147">
        <v>8800</v>
      </c>
      <c r="S47" s="97">
        <f t="shared" si="5"/>
        <v>0.39034132954545453</v>
      </c>
      <c r="T47" s="136">
        <v>9100</v>
      </c>
      <c r="U47" s="52">
        <f t="shared" si="6"/>
        <v>0.41043996703296698</v>
      </c>
      <c r="V47" s="82">
        <v>10800</v>
      </c>
      <c r="W47" s="52">
        <f t="shared" si="7"/>
        <v>0.50324108333333317</v>
      </c>
      <c r="X47" s="82">
        <v>13400</v>
      </c>
      <c r="Y47" s="52">
        <f t="shared" si="8"/>
        <v>0.5996271417910447</v>
      </c>
      <c r="Z47" s="82">
        <v>17600</v>
      </c>
      <c r="AA47" s="52">
        <f t="shared" si="9"/>
        <v>0.69517066477272726</v>
      </c>
      <c r="AB47" s="111">
        <f t="shared" si="15"/>
        <v>7400</v>
      </c>
    </row>
    <row r="48" spans="1:28" ht="26.25" customHeight="1" x14ac:dyDescent="0.25">
      <c r="A48" s="40" t="s">
        <v>647</v>
      </c>
      <c r="B48" s="43" t="s">
        <v>404</v>
      </c>
      <c r="C48" s="49" t="s">
        <v>405</v>
      </c>
      <c r="D48" s="37">
        <v>4696.7</v>
      </c>
      <c r="E48" s="37">
        <f t="shared" si="13"/>
        <v>5213.3369999999995</v>
      </c>
      <c r="F48" s="35">
        <v>8800</v>
      </c>
      <c r="G48" s="36">
        <f t="shared" si="0"/>
        <v>0.40757534090909087</v>
      </c>
      <c r="H48" s="33">
        <v>17600</v>
      </c>
      <c r="I48" s="36">
        <f t="shared" si="1"/>
        <v>0.70378767045454538</v>
      </c>
      <c r="J48" s="37">
        <v>6800</v>
      </c>
      <c r="K48" s="36">
        <f t="shared" si="2"/>
        <v>0.23333279411764696</v>
      </c>
      <c r="L48" s="54">
        <v>8800</v>
      </c>
      <c r="M48" s="36">
        <f t="shared" si="3"/>
        <v>0.40757534090909087</v>
      </c>
      <c r="N48" s="38">
        <v>4833.33</v>
      </c>
      <c r="O48" s="58">
        <f t="shared" si="14"/>
        <v>5364.9962999999998</v>
      </c>
      <c r="P48" s="86">
        <v>7500</v>
      </c>
      <c r="Q48" s="65">
        <f t="shared" si="4"/>
        <v>0.28466715999999992</v>
      </c>
      <c r="R48" s="147">
        <v>8800</v>
      </c>
      <c r="S48" s="97">
        <f t="shared" si="5"/>
        <v>0.39034132954545453</v>
      </c>
      <c r="T48" s="135">
        <v>9100</v>
      </c>
      <c r="U48" s="52">
        <f t="shared" si="6"/>
        <v>0.41043996703296698</v>
      </c>
      <c r="V48" s="82">
        <v>10800</v>
      </c>
      <c r="W48" s="52">
        <f t="shared" si="7"/>
        <v>0.50324108333333317</v>
      </c>
      <c r="X48" s="82">
        <v>13400</v>
      </c>
      <c r="Y48" s="52">
        <f t="shared" si="8"/>
        <v>0.5996271417910447</v>
      </c>
      <c r="Z48" s="82">
        <v>18000</v>
      </c>
      <c r="AA48" s="52">
        <f t="shared" si="9"/>
        <v>0.70194464999999995</v>
      </c>
      <c r="AB48" s="111">
        <f t="shared" si="15"/>
        <v>7100</v>
      </c>
    </row>
    <row r="49" spans="1:28" ht="27" customHeight="1" x14ac:dyDescent="0.25">
      <c r="A49" s="40" t="s">
        <v>648</v>
      </c>
      <c r="B49" s="41" t="s">
        <v>344</v>
      </c>
      <c r="C49" s="42">
        <v>8996001600269</v>
      </c>
      <c r="D49" s="33">
        <v>1764.26</v>
      </c>
      <c r="E49" s="37">
        <f t="shared" si="13"/>
        <v>1958.3286000000001</v>
      </c>
      <c r="F49" s="35">
        <v>4100</v>
      </c>
      <c r="G49" s="36">
        <f t="shared" si="0"/>
        <v>0.52235887804878034</v>
      </c>
      <c r="H49" s="37">
        <v>10000</v>
      </c>
      <c r="I49" s="36">
        <f t="shared" si="1"/>
        <v>0.80416714</v>
      </c>
      <c r="J49" s="37">
        <v>4000</v>
      </c>
      <c r="K49" s="36">
        <f t="shared" si="2"/>
        <v>0.51041785000000006</v>
      </c>
      <c r="L49" s="54">
        <v>3000</v>
      </c>
      <c r="M49" s="36">
        <f t="shared" si="3"/>
        <v>0.34722379999999997</v>
      </c>
      <c r="N49" s="38">
        <v>1764</v>
      </c>
      <c r="O49" s="58">
        <f t="shared" si="14"/>
        <v>1958.04</v>
      </c>
      <c r="P49" s="86">
        <v>4000</v>
      </c>
      <c r="Q49" s="65">
        <f t="shared" si="4"/>
        <v>0.51049</v>
      </c>
      <c r="R49" s="147">
        <v>4027</v>
      </c>
      <c r="S49" s="97">
        <f t="shared" si="5"/>
        <v>0.51377203873851496</v>
      </c>
      <c r="T49" s="135">
        <v>4100</v>
      </c>
      <c r="U49" s="52">
        <f t="shared" si="6"/>
        <v>0.52242926829268277</v>
      </c>
      <c r="V49" s="82">
        <v>3900</v>
      </c>
      <c r="W49" s="52">
        <f t="shared" si="7"/>
        <v>0.49793846153846155</v>
      </c>
      <c r="X49" s="82">
        <v>4900</v>
      </c>
      <c r="Y49" s="52">
        <f t="shared" si="8"/>
        <v>0.60039999999999993</v>
      </c>
      <c r="Z49" s="82">
        <v>6500</v>
      </c>
      <c r="AA49" s="52">
        <f t="shared" si="9"/>
        <v>0.69876307692307693</v>
      </c>
      <c r="AB49" s="111">
        <f t="shared" si="15"/>
        <v>4300</v>
      </c>
    </row>
    <row r="50" spans="1:28" ht="28.5" customHeight="1" x14ac:dyDescent="0.25">
      <c r="A50" s="40" t="s">
        <v>521</v>
      </c>
      <c r="B50" s="43" t="s">
        <v>202</v>
      </c>
      <c r="C50" s="47">
        <v>8997009510055</v>
      </c>
      <c r="D50" s="37">
        <v>5663</v>
      </c>
      <c r="E50" s="37">
        <f t="shared" si="13"/>
        <v>6285.93</v>
      </c>
      <c r="F50" s="35">
        <v>10700</v>
      </c>
      <c r="G50" s="36">
        <f t="shared" si="0"/>
        <v>0.41252990654205612</v>
      </c>
      <c r="H50" s="37">
        <v>21300</v>
      </c>
      <c r="I50" s="36">
        <f t="shared" si="1"/>
        <v>0.70488591549295765</v>
      </c>
      <c r="J50" s="37">
        <v>8300</v>
      </c>
      <c r="K50" s="36">
        <f t="shared" si="2"/>
        <v>0.24265903614457826</v>
      </c>
      <c r="L50" s="54">
        <v>9700</v>
      </c>
      <c r="M50" s="36">
        <f t="shared" si="3"/>
        <v>0.35196597938144319</v>
      </c>
      <c r="N50" s="38">
        <v>5102.6660000000002</v>
      </c>
      <c r="O50" s="68">
        <f t="shared" si="14"/>
        <v>5663.9592600000005</v>
      </c>
      <c r="P50" s="86">
        <v>8500</v>
      </c>
      <c r="Q50" s="65">
        <f t="shared" si="4"/>
        <v>0.33365185176470585</v>
      </c>
      <c r="R50" s="147">
        <v>8999</v>
      </c>
      <c r="S50" s="97">
        <f t="shared" si="5"/>
        <v>0.37060126014001554</v>
      </c>
      <c r="T50" s="135">
        <v>10700</v>
      </c>
      <c r="U50" s="52">
        <f t="shared" si="6"/>
        <v>0.47065801308411215</v>
      </c>
      <c r="V50" s="82">
        <v>11400</v>
      </c>
      <c r="W50" s="52">
        <f t="shared" si="7"/>
        <v>0.50316146842105258</v>
      </c>
      <c r="X50" s="82">
        <v>14000</v>
      </c>
      <c r="Y50" s="52">
        <f t="shared" si="8"/>
        <v>0.59543148142857127</v>
      </c>
      <c r="Z50" s="82">
        <v>18600</v>
      </c>
      <c r="AA50" s="52">
        <f t="shared" si="9"/>
        <v>0.69548606129032264</v>
      </c>
      <c r="AB50" s="111">
        <f t="shared" si="15"/>
        <v>8600</v>
      </c>
    </row>
    <row r="51" spans="1:28" ht="28.5" customHeight="1" x14ac:dyDescent="0.25">
      <c r="A51" s="40" t="s">
        <v>522</v>
      </c>
      <c r="B51" s="43" t="s">
        <v>201</v>
      </c>
      <c r="C51" s="47">
        <v>8997009510017</v>
      </c>
      <c r="D51" s="37">
        <v>5663</v>
      </c>
      <c r="E51" s="37">
        <f t="shared" si="13"/>
        <v>6285.93</v>
      </c>
      <c r="F51" s="35">
        <v>10700</v>
      </c>
      <c r="G51" s="36">
        <f t="shared" si="0"/>
        <v>0.41252990654205612</v>
      </c>
      <c r="H51" s="37">
        <v>21300</v>
      </c>
      <c r="I51" s="36">
        <f t="shared" si="1"/>
        <v>0.70488591549295765</v>
      </c>
      <c r="J51" s="37">
        <v>8300</v>
      </c>
      <c r="K51" s="36">
        <f t="shared" si="2"/>
        <v>0.24265903614457826</v>
      </c>
      <c r="L51" s="54">
        <v>9700</v>
      </c>
      <c r="M51" s="36">
        <f t="shared" si="3"/>
        <v>0.35196597938144319</v>
      </c>
      <c r="N51" s="38">
        <v>5102.6660000000002</v>
      </c>
      <c r="O51" s="68">
        <f t="shared" si="14"/>
        <v>5663.9592600000005</v>
      </c>
      <c r="P51" s="86">
        <v>8500</v>
      </c>
      <c r="Q51" s="65">
        <f t="shared" si="4"/>
        <v>0.33365185176470585</v>
      </c>
      <c r="R51" s="147">
        <v>8999</v>
      </c>
      <c r="S51" s="97">
        <f t="shared" si="5"/>
        <v>0.37060126014001554</v>
      </c>
      <c r="T51" s="135">
        <v>10700</v>
      </c>
      <c r="U51" s="52">
        <f t="shared" si="6"/>
        <v>0.47065801308411215</v>
      </c>
      <c r="V51" s="82">
        <v>11400</v>
      </c>
      <c r="W51" s="52">
        <f t="shared" si="7"/>
        <v>0.50316146842105258</v>
      </c>
      <c r="X51" s="82">
        <v>14000</v>
      </c>
      <c r="Y51" s="52">
        <f t="shared" si="8"/>
        <v>0.59543148142857127</v>
      </c>
      <c r="Z51" s="82">
        <v>18600</v>
      </c>
      <c r="AA51" s="52">
        <f t="shared" si="9"/>
        <v>0.69548606129032264</v>
      </c>
      <c r="AB51" s="111">
        <f t="shared" si="15"/>
        <v>8600</v>
      </c>
    </row>
    <row r="52" spans="1:28" ht="27.75" customHeight="1" x14ac:dyDescent="0.25">
      <c r="A52" s="40" t="s">
        <v>523</v>
      </c>
      <c r="B52" s="41" t="s">
        <v>336</v>
      </c>
      <c r="C52" s="42">
        <v>8997009510123</v>
      </c>
      <c r="D52" s="33">
        <v>6654.95</v>
      </c>
      <c r="E52" s="37">
        <f t="shared" si="13"/>
        <v>7386.9944999999998</v>
      </c>
      <c r="F52" s="35">
        <v>12600</v>
      </c>
      <c r="G52" s="36">
        <f t="shared" si="0"/>
        <v>0.41373059523809513</v>
      </c>
      <c r="H52" s="37">
        <v>25000</v>
      </c>
      <c r="I52" s="36">
        <f t="shared" si="1"/>
        <v>0.70452022000000003</v>
      </c>
      <c r="J52" s="37">
        <v>9300</v>
      </c>
      <c r="K52" s="36">
        <f t="shared" si="2"/>
        <v>0.20569951612903228</v>
      </c>
      <c r="L52" s="54">
        <v>11400</v>
      </c>
      <c r="M52" s="36">
        <f t="shared" si="3"/>
        <v>0.35201802631578949</v>
      </c>
      <c r="N52" s="38">
        <v>5995.45</v>
      </c>
      <c r="O52" s="68">
        <f t="shared" si="14"/>
        <v>6654.9494999999997</v>
      </c>
      <c r="P52" s="86">
        <v>9500</v>
      </c>
      <c r="Q52" s="65">
        <f t="shared" si="4"/>
        <v>0.29947899999999994</v>
      </c>
      <c r="R52" s="147">
        <v>11129</v>
      </c>
      <c r="S52" s="97">
        <f t="shared" si="5"/>
        <v>0.40201729715158602</v>
      </c>
      <c r="T52" s="136">
        <v>12600</v>
      </c>
      <c r="U52" s="52">
        <f t="shared" si="6"/>
        <v>0.47182940476190471</v>
      </c>
      <c r="V52" s="82">
        <v>13400</v>
      </c>
      <c r="W52" s="52">
        <f t="shared" si="7"/>
        <v>0.50336197761194024</v>
      </c>
      <c r="X52" s="82">
        <v>16600</v>
      </c>
      <c r="Y52" s="52">
        <f t="shared" si="8"/>
        <v>0.59909942771084346</v>
      </c>
      <c r="Z52" s="82">
        <v>22000</v>
      </c>
      <c r="AA52" s="52">
        <f t="shared" si="9"/>
        <v>0.69750229545454545</v>
      </c>
      <c r="AB52" s="111">
        <f t="shared" si="15"/>
        <v>9600</v>
      </c>
    </row>
    <row r="53" spans="1:28" ht="30" customHeight="1" x14ac:dyDescent="0.25">
      <c r="A53" s="40" t="s">
        <v>524</v>
      </c>
      <c r="B53" s="43" t="s">
        <v>339</v>
      </c>
      <c r="C53" s="42">
        <v>8997009510116</v>
      </c>
      <c r="D53" s="33">
        <v>6654.95</v>
      </c>
      <c r="E53" s="37">
        <f t="shared" si="13"/>
        <v>7386.9944999999998</v>
      </c>
      <c r="F53" s="35">
        <v>12600</v>
      </c>
      <c r="G53" s="36">
        <f t="shared" si="0"/>
        <v>0.41373059523809513</v>
      </c>
      <c r="H53" s="37">
        <v>25000</v>
      </c>
      <c r="I53" s="36">
        <f t="shared" si="1"/>
        <v>0.70452022000000003</v>
      </c>
      <c r="J53" s="37">
        <v>9300</v>
      </c>
      <c r="K53" s="36">
        <f t="shared" si="2"/>
        <v>0.20569951612903228</v>
      </c>
      <c r="L53" s="54">
        <v>11400</v>
      </c>
      <c r="M53" s="36">
        <f t="shared" si="3"/>
        <v>0.35201802631578949</v>
      </c>
      <c r="N53" s="38">
        <v>5995.45</v>
      </c>
      <c r="O53" s="68">
        <f t="shared" si="14"/>
        <v>6654.9494999999997</v>
      </c>
      <c r="P53" s="86">
        <v>9500</v>
      </c>
      <c r="Q53" s="65">
        <f t="shared" si="4"/>
        <v>0.29947899999999994</v>
      </c>
      <c r="R53" s="147">
        <v>11129</v>
      </c>
      <c r="S53" s="97">
        <f t="shared" si="5"/>
        <v>0.40201729715158602</v>
      </c>
      <c r="T53" s="136">
        <v>12600</v>
      </c>
      <c r="U53" s="52">
        <f t="shared" si="6"/>
        <v>0.47182940476190471</v>
      </c>
      <c r="V53" s="82">
        <v>13400</v>
      </c>
      <c r="W53" s="52">
        <f t="shared" si="7"/>
        <v>0.50336197761194024</v>
      </c>
      <c r="X53" s="82">
        <v>16600</v>
      </c>
      <c r="Y53" s="52">
        <f t="shared" si="8"/>
        <v>0.59909942771084346</v>
      </c>
      <c r="Z53" s="82">
        <v>22000</v>
      </c>
      <c r="AA53" s="52">
        <f t="shared" si="9"/>
        <v>0.69750229545454545</v>
      </c>
      <c r="AB53" s="111">
        <f t="shared" si="15"/>
        <v>9600</v>
      </c>
    </row>
    <row r="54" spans="1:28" ht="31.5" customHeight="1" x14ac:dyDescent="0.25">
      <c r="A54" s="40" t="s">
        <v>525</v>
      </c>
      <c r="B54" s="43" t="s">
        <v>386</v>
      </c>
      <c r="C54" s="42">
        <v>9556156003385</v>
      </c>
      <c r="D54" s="37">
        <v>5526</v>
      </c>
      <c r="E54" s="37">
        <f t="shared" si="13"/>
        <v>6133.86</v>
      </c>
      <c r="F54" s="35">
        <v>10400</v>
      </c>
      <c r="G54" s="36">
        <f t="shared" si="0"/>
        <v>0.41020576923076929</v>
      </c>
      <c r="H54" s="37">
        <v>20700</v>
      </c>
      <c r="I54" s="36">
        <f t="shared" si="1"/>
        <v>0.7036782608695652</v>
      </c>
      <c r="J54" s="37">
        <v>7700</v>
      </c>
      <c r="K54" s="36">
        <f t="shared" si="2"/>
        <v>0.2033948051948051</v>
      </c>
      <c r="L54" s="54">
        <v>9500</v>
      </c>
      <c r="M54" s="36">
        <f t="shared" si="3"/>
        <v>0.35433052631578937</v>
      </c>
      <c r="N54" s="38">
        <v>6354.37</v>
      </c>
      <c r="O54" s="58">
        <f t="shared" si="14"/>
        <v>7053.3507</v>
      </c>
      <c r="P54" s="129">
        <v>10900</v>
      </c>
      <c r="Q54" s="65">
        <f t="shared" si="4"/>
        <v>0.3529036055045871</v>
      </c>
      <c r="R54" s="147">
        <v>10900</v>
      </c>
      <c r="S54" s="97">
        <f t="shared" si="5"/>
        <v>0.3529036055045871</v>
      </c>
      <c r="T54" s="136">
        <v>12000</v>
      </c>
      <c r="U54" s="52">
        <f t="shared" si="6"/>
        <v>0.41222077499999998</v>
      </c>
      <c r="V54" s="82">
        <v>14000</v>
      </c>
      <c r="W54" s="52">
        <f t="shared" si="7"/>
        <v>0.49618923571428564</v>
      </c>
      <c r="X54" s="82">
        <v>17600</v>
      </c>
      <c r="Y54" s="52">
        <f t="shared" si="8"/>
        <v>0.59924143750000003</v>
      </c>
      <c r="Z54" s="82">
        <v>23600</v>
      </c>
      <c r="AA54" s="52">
        <f t="shared" si="9"/>
        <v>0.70112920762711872</v>
      </c>
      <c r="AB54" s="111">
        <f t="shared" si="15"/>
        <v>8000</v>
      </c>
    </row>
    <row r="55" spans="1:28" ht="28.5" customHeight="1" x14ac:dyDescent="0.25">
      <c r="A55" s="40" t="s">
        <v>526</v>
      </c>
      <c r="B55" s="41" t="s">
        <v>338</v>
      </c>
      <c r="C55" s="42">
        <v>8998866200851</v>
      </c>
      <c r="D55" s="33">
        <v>3751.88</v>
      </c>
      <c r="E55" s="37">
        <f t="shared" si="13"/>
        <v>4164.5868</v>
      </c>
      <c r="F55" s="35">
        <v>7100</v>
      </c>
      <c r="G55" s="36">
        <f t="shared" si="0"/>
        <v>0.41343847887323937</v>
      </c>
      <c r="H55" s="37">
        <v>14100</v>
      </c>
      <c r="I55" s="36">
        <f t="shared" si="1"/>
        <v>0.70463923404255313</v>
      </c>
      <c r="J55" s="37">
        <v>5600</v>
      </c>
      <c r="K55" s="36">
        <f t="shared" si="2"/>
        <v>0.25632378571428555</v>
      </c>
      <c r="L55" s="54">
        <v>6400</v>
      </c>
      <c r="M55" s="36">
        <f t="shared" si="3"/>
        <v>0.34928331249999994</v>
      </c>
      <c r="N55" s="38">
        <v>3751.8910000000001</v>
      </c>
      <c r="O55" s="68">
        <f t="shared" si="14"/>
        <v>4164.5990099999999</v>
      </c>
      <c r="P55" s="86">
        <v>5600</v>
      </c>
      <c r="Q55" s="65">
        <f t="shared" si="4"/>
        <v>0.25632160535714271</v>
      </c>
      <c r="R55" s="147">
        <v>6995</v>
      </c>
      <c r="S55" s="97">
        <f t="shared" si="5"/>
        <v>0.40463202144388843</v>
      </c>
      <c r="T55" s="136">
        <v>7100</v>
      </c>
      <c r="U55" s="52">
        <f t="shared" si="6"/>
        <v>0.41343675915492956</v>
      </c>
      <c r="V55" s="82">
        <v>8400</v>
      </c>
      <c r="W55" s="52">
        <f t="shared" si="7"/>
        <v>0.50421440357142844</v>
      </c>
      <c r="X55" s="82">
        <v>10400</v>
      </c>
      <c r="Y55" s="52">
        <f t="shared" si="8"/>
        <v>0.59955778749999999</v>
      </c>
      <c r="Z55" s="82">
        <v>14000</v>
      </c>
      <c r="AA55" s="52">
        <f t="shared" si="9"/>
        <v>0.70252864214285704</v>
      </c>
      <c r="AB55" s="111">
        <f t="shared" si="15"/>
        <v>5900</v>
      </c>
    </row>
    <row r="56" spans="1:28" ht="26.25" customHeight="1" x14ac:dyDescent="0.25">
      <c r="A56" s="40" t="s">
        <v>527</v>
      </c>
      <c r="B56" s="43" t="s">
        <v>371</v>
      </c>
      <c r="C56" s="42">
        <v>8998009050053</v>
      </c>
      <c r="D56" s="37">
        <v>3442.34</v>
      </c>
      <c r="E56" s="37">
        <f t="shared" si="13"/>
        <v>3820.9974000000002</v>
      </c>
      <c r="F56" s="35">
        <v>6500</v>
      </c>
      <c r="G56" s="36">
        <f t="shared" si="0"/>
        <v>0.41215424615384605</v>
      </c>
      <c r="H56" s="37">
        <v>12900</v>
      </c>
      <c r="I56" s="36">
        <f t="shared" si="1"/>
        <v>0.70379865116279061</v>
      </c>
      <c r="J56" s="37">
        <v>5900</v>
      </c>
      <c r="K56" s="36">
        <f t="shared" si="2"/>
        <v>0.35237332203389832</v>
      </c>
      <c r="L56" s="54">
        <v>5900</v>
      </c>
      <c r="M56" s="36">
        <f t="shared" si="3"/>
        <v>0.35237332203389832</v>
      </c>
      <c r="N56" s="38">
        <v>2834</v>
      </c>
      <c r="O56" s="58">
        <f>(N56*11%)+N56</f>
        <v>3145.74</v>
      </c>
      <c r="P56" s="86">
        <v>6000</v>
      </c>
      <c r="Q56" s="65">
        <f t="shared" si="4"/>
        <v>0.47570999999999997</v>
      </c>
      <c r="R56" s="147">
        <v>6199</v>
      </c>
      <c r="S56" s="97">
        <f t="shared" si="5"/>
        <v>0.49254073237618956</v>
      </c>
      <c r="T56" s="136">
        <v>6799</v>
      </c>
      <c r="U56" s="52">
        <f t="shared" si="6"/>
        <v>0.53732313575525814</v>
      </c>
      <c r="V56" s="82">
        <v>6799</v>
      </c>
      <c r="W56" s="52">
        <f t="shared" si="7"/>
        <v>0.53732313575525814</v>
      </c>
      <c r="X56" s="82">
        <v>7800</v>
      </c>
      <c r="Y56" s="52">
        <f t="shared" si="8"/>
        <v>0.59670000000000001</v>
      </c>
      <c r="Z56" s="82">
        <v>10500</v>
      </c>
      <c r="AA56" s="52">
        <f t="shared" si="9"/>
        <v>0.7004057142857143</v>
      </c>
      <c r="AB56" s="111">
        <f t="shared" si="15"/>
        <v>6200</v>
      </c>
    </row>
    <row r="57" spans="1:28" ht="24" customHeight="1" x14ac:dyDescent="0.25">
      <c r="A57" s="40" t="s">
        <v>528</v>
      </c>
      <c r="B57" s="41" t="s">
        <v>468</v>
      </c>
      <c r="C57" s="42">
        <v>8886467100260</v>
      </c>
      <c r="D57" s="33">
        <v>9474</v>
      </c>
      <c r="E57" s="37">
        <f t="shared" si="13"/>
        <v>10516.14</v>
      </c>
      <c r="F57" s="35">
        <v>17900</v>
      </c>
      <c r="G57" s="36">
        <f t="shared" si="0"/>
        <v>0.41250614525139656</v>
      </c>
      <c r="H57" s="37">
        <v>35600</v>
      </c>
      <c r="I57" s="36">
        <f t="shared" si="1"/>
        <v>0.70460280898876404</v>
      </c>
      <c r="J57" s="33">
        <v>13900</v>
      </c>
      <c r="K57" s="36">
        <f t="shared" si="2"/>
        <v>0.2434431654676259</v>
      </c>
      <c r="L57" s="54">
        <v>16300</v>
      </c>
      <c r="M57" s="36">
        <f t="shared" si="3"/>
        <v>0.3548380368098159</v>
      </c>
      <c r="N57" s="38">
        <v>9473.8700000000008</v>
      </c>
      <c r="O57" s="58">
        <f t="shared" si="14"/>
        <v>10515.995700000001</v>
      </c>
      <c r="P57" s="86">
        <v>14700</v>
      </c>
      <c r="Q57" s="65">
        <f t="shared" si="4"/>
        <v>0.28462614285714272</v>
      </c>
      <c r="R57" s="147">
        <v>17065</v>
      </c>
      <c r="S57" s="97">
        <f t="shared" si="5"/>
        <v>0.38376819806621726</v>
      </c>
      <c r="T57" s="135">
        <v>17900</v>
      </c>
      <c r="U57" s="52">
        <f t="shared" si="6"/>
        <v>0.41251420670391048</v>
      </c>
      <c r="V57" s="82">
        <v>20900</v>
      </c>
      <c r="W57" s="52">
        <f t="shared" si="7"/>
        <v>0.4968423110047846</v>
      </c>
      <c r="X57" s="82">
        <v>26000</v>
      </c>
      <c r="Y57" s="52">
        <f t="shared" si="8"/>
        <v>0.59553862692307691</v>
      </c>
      <c r="Z57" s="82">
        <v>35000</v>
      </c>
      <c r="AA57" s="52">
        <f t="shared" si="9"/>
        <v>0.69954297999999993</v>
      </c>
      <c r="AB57" s="111">
        <f t="shared" si="15"/>
        <v>14200</v>
      </c>
    </row>
    <row r="58" spans="1:28" ht="31.5" customHeight="1" x14ac:dyDescent="0.25">
      <c r="A58" s="40" t="s">
        <v>529</v>
      </c>
      <c r="B58" s="43" t="s">
        <v>703</v>
      </c>
      <c r="C58" s="42">
        <v>8998009010576</v>
      </c>
      <c r="D58" s="37">
        <v>3963.96</v>
      </c>
      <c r="E58" s="37">
        <f t="shared" si="13"/>
        <v>4399.9956000000002</v>
      </c>
      <c r="F58" s="35">
        <v>7500</v>
      </c>
      <c r="G58" s="36">
        <f t="shared" si="0"/>
        <v>0.41333391999999985</v>
      </c>
      <c r="H58" s="37">
        <v>14900</v>
      </c>
      <c r="I58" s="36">
        <f t="shared" si="1"/>
        <v>0.70469828187919459</v>
      </c>
      <c r="J58" s="37">
        <v>6400</v>
      </c>
      <c r="K58" s="36">
        <f t="shared" si="2"/>
        <v>0.31250068749999993</v>
      </c>
      <c r="L58" s="54">
        <v>6800</v>
      </c>
      <c r="M58" s="36">
        <f t="shared" si="3"/>
        <v>0.35294182352941161</v>
      </c>
      <c r="N58" s="120">
        <v>4128.82</v>
      </c>
      <c r="O58" s="79">
        <f t="shared" si="14"/>
        <v>4582.9901999999993</v>
      </c>
      <c r="P58" s="86">
        <v>7000</v>
      </c>
      <c r="Q58" s="65">
        <f t="shared" si="4"/>
        <v>0.34528711428571424</v>
      </c>
      <c r="R58" s="125">
        <v>7100</v>
      </c>
      <c r="S58" s="97">
        <f t="shared" si="5"/>
        <v>0.35450842253521131</v>
      </c>
      <c r="T58" s="135">
        <v>7799</v>
      </c>
      <c r="U58" s="52">
        <f t="shared" si="6"/>
        <v>0.41236181561738677</v>
      </c>
      <c r="V58" s="82">
        <v>9200</v>
      </c>
      <c r="W58" s="52">
        <f t="shared" si="7"/>
        <v>0.50184889130434784</v>
      </c>
      <c r="X58" s="82">
        <v>11600</v>
      </c>
      <c r="Y58" s="52">
        <f t="shared" si="8"/>
        <v>0.6049146379310345</v>
      </c>
      <c r="Z58" s="82">
        <v>15400</v>
      </c>
      <c r="AA58" s="52">
        <f t="shared" si="9"/>
        <v>0.7024032337662337</v>
      </c>
      <c r="AB58" s="111">
        <f t="shared" si="15"/>
        <v>6700</v>
      </c>
    </row>
    <row r="59" spans="1:28" ht="27.75" customHeight="1" x14ac:dyDescent="0.25">
      <c r="A59" s="40" t="s">
        <v>530</v>
      </c>
      <c r="B59" s="75" t="s">
        <v>642</v>
      </c>
      <c r="C59" s="42">
        <v>8992760221028</v>
      </c>
      <c r="D59" s="37">
        <v>6533</v>
      </c>
      <c r="E59" s="37">
        <f t="shared" si="13"/>
        <v>7251.63</v>
      </c>
      <c r="F59" s="35">
        <v>12300</v>
      </c>
      <c r="G59" s="36">
        <f t="shared" si="0"/>
        <v>0.41043658536585359</v>
      </c>
      <c r="H59" s="37">
        <v>26700</v>
      </c>
      <c r="I59" s="36">
        <f t="shared" si="1"/>
        <v>0.72840337078651685</v>
      </c>
      <c r="J59" s="33">
        <v>10500</v>
      </c>
      <c r="K59" s="36">
        <f t="shared" si="2"/>
        <v>0.30936857142857138</v>
      </c>
      <c r="L59" s="54">
        <v>11200</v>
      </c>
      <c r="M59" s="36">
        <f t="shared" si="3"/>
        <v>0.35253303571428563</v>
      </c>
      <c r="N59" s="38">
        <v>6860.36</v>
      </c>
      <c r="O59" s="58">
        <f t="shared" si="14"/>
        <v>7614.9995999999992</v>
      </c>
      <c r="P59" s="86">
        <v>10500</v>
      </c>
      <c r="Q59" s="65">
        <f t="shared" si="4"/>
        <v>0.27476194285714278</v>
      </c>
      <c r="R59" s="147">
        <v>12199</v>
      </c>
      <c r="S59" s="97">
        <f t="shared" si="5"/>
        <v>0.37576853840478724</v>
      </c>
      <c r="T59" s="135">
        <v>12931</v>
      </c>
      <c r="U59" s="52">
        <f t="shared" si="6"/>
        <v>0.41110512721367254</v>
      </c>
      <c r="V59" s="82">
        <v>15200</v>
      </c>
      <c r="W59" s="52">
        <f t="shared" si="7"/>
        <v>0.49901318421052632</v>
      </c>
      <c r="X59" s="82">
        <v>19000</v>
      </c>
      <c r="Y59" s="52">
        <f t="shared" si="8"/>
        <v>0.59921054736842105</v>
      </c>
      <c r="Z59" s="82">
        <v>25000</v>
      </c>
      <c r="AA59" s="52">
        <f t="shared" si="9"/>
        <v>0.69540001600000001</v>
      </c>
      <c r="AB59" s="111">
        <f t="shared" si="15"/>
        <v>10800</v>
      </c>
    </row>
    <row r="60" spans="1:28" ht="31.5" customHeight="1" x14ac:dyDescent="0.25">
      <c r="A60" s="40" t="s">
        <v>531</v>
      </c>
      <c r="B60" s="43" t="s">
        <v>208</v>
      </c>
      <c r="C60" s="47">
        <v>8996001600696</v>
      </c>
      <c r="D60" s="37">
        <v>7837.83</v>
      </c>
      <c r="E60" s="37">
        <f t="shared" si="13"/>
        <v>8699.9912999999997</v>
      </c>
      <c r="F60" s="35">
        <v>14800</v>
      </c>
      <c r="G60" s="36">
        <f t="shared" si="0"/>
        <v>0.41216274999999991</v>
      </c>
      <c r="H60" s="37">
        <v>29400</v>
      </c>
      <c r="I60" s="36">
        <f t="shared" si="1"/>
        <v>0.70408192857142859</v>
      </c>
      <c r="J60" s="37">
        <v>11300</v>
      </c>
      <c r="K60" s="36">
        <f t="shared" si="2"/>
        <v>0.23008926548672562</v>
      </c>
      <c r="L60" s="54">
        <v>13400</v>
      </c>
      <c r="M60" s="36">
        <f t="shared" si="3"/>
        <v>0.35074691791044771</v>
      </c>
      <c r="N60" s="38">
        <v>8213.5130000000008</v>
      </c>
      <c r="O60" s="58">
        <f t="shared" si="14"/>
        <v>9116.9994300000017</v>
      </c>
      <c r="P60" s="86">
        <v>13999</v>
      </c>
      <c r="Q60" s="65">
        <f t="shared" si="4"/>
        <v>0.3487392363740266</v>
      </c>
      <c r="R60" s="147">
        <v>14000</v>
      </c>
      <c r="S60" s="97">
        <f t="shared" si="5"/>
        <v>0.34878575499999986</v>
      </c>
      <c r="T60" s="135">
        <v>15400</v>
      </c>
      <c r="U60" s="52">
        <f t="shared" si="6"/>
        <v>0.40798704999999985</v>
      </c>
      <c r="V60" s="82">
        <v>18200</v>
      </c>
      <c r="W60" s="52">
        <f t="shared" si="7"/>
        <v>0.49906596538461528</v>
      </c>
      <c r="X60" s="82">
        <v>23000</v>
      </c>
      <c r="Y60" s="52">
        <f t="shared" si="8"/>
        <v>0.60360872043478242</v>
      </c>
      <c r="Z60" s="82">
        <v>30000</v>
      </c>
      <c r="AA60" s="52">
        <f t="shared" si="9"/>
        <v>0.69610001899999974</v>
      </c>
      <c r="AB60" s="111">
        <f t="shared" si="15"/>
        <v>11600</v>
      </c>
    </row>
    <row r="61" spans="1:28" ht="26.25" customHeight="1" x14ac:dyDescent="0.25">
      <c r="A61" s="40" t="s">
        <v>532</v>
      </c>
      <c r="B61" s="43" t="s">
        <v>42</v>
      </c>
      <c r="C61" s="42">
        <v>8998009040023</v>
      </c>
      <c r="D61" s="33">
        <v>2747.74</v>
      </c>
      <c r="E61" s="37">
        <f t="shared" si="13"/>
        <v>3049.9913999999999</v>
      </c>
      <c r="F61" s="35">
        <v>5200</v>
      </c>
      <c r="G61" s="36">
        <f t="shared" si="0"/>
        <v>0.41346319230769241</v>
      </c>
      <c r="H61" s="37">
        <v>10300</v>
      </c>
      <c r="I61" s="36">
        <f t="shared" si="1"/>
        <v>0.7038843300970874</v>
      </c>
      <c r="J61" s="33">
        <v>4000</v>
      </c>
      <c r="K61" s="36">
        <f t="shared" si="2"/>
        <v>0.23750215000000005</v>
      </c>
      <c r="L61" s="54">
        <v>4700</v>
      </c>
      <c r="M61" s="36">
        <f t="shared" si="3"/>
        <v>0.351065659574468</v>
      </c>
      <c r="N61" s="38">
        <v>2271.17</v>
      </c>
      <c r="O61" s="58">
        <f t="shared" si="14"/>
        <v>2520.9987000000001</v>
      </c>
      <c r="P61" s="86">
        <v>4700</v>
      </c>
      <c r="Q61" s="65">
        <f t="shared" si="4"/>
        <v>0.46361729787234024</v>
      </c>
      <c r="R61" s="147">
        <v>4699</v>
      </c>
      <c r="S61" s="97">
        <f t="shared" si="5"/>
        <v>0.46350314960629913</v>
      </c>
      <c r="T61" s="135">
        <v>5200</v>
      </c>
      <c r="U61" s="52">
        <f t="shared" si="6"/>
        <v>0.51519255769230776</v>
      </c>
      <c r="V61" s="82">
        <v>5200</v>
      </c>
      <c r="W61" s="52">
        <f t="shared" si="7"/>
        <v>0.51519255769230776</v>
      </c>
      <c r="X61" s="82">
        <v>6300</v>
      </c>
      <c r="Y61" s="52">
        <f t="shared" si="8"/>
        <v>0.59984147619047612</v>
      </c>
      <c r="Z61" s="82">
        <v>8500</v>
      </c>
      <c r="AA61" s="52">
        <f t="shared" si="9"/>
        <v>0.70341191764705879</v>
      </c>
      <c r="AB61" s="111">
        <f t="shared" si="15"/>
        <v>4300</v>
      </c>
    </row>
    <row r="62" spans="1:28" ht="22.5" customHeight="1" x14ac:dyDescent="0.25">
      <c r="A62" s="40" t="s">
        <v>533</v>
      </c>
      <c r="B62" s="43" t="s">
        <v>343</v>
      </c>
      <c r="C62" s="42">
        <v>8996006858016</v>
      </c>
      <c r="D62" s="33">
        <v>3378</v>
      </c>
      <c r="E62" s="37">
        <f t="shared" si="13"/>
        <v>3749.58</v>
      </c>
      <c r="F62" s="35">
        <v>6400</v>
      </c>
      <c r="G62" s="36">
        <f t="shared" si="0"/>
        <v>0.41412812499999996</v>
      </c>
      <c r="H62" s="37">
        <v>13000</v>
      </c>
      <c r="I62" s="36">
        <f t="shared" si="1"/>
        <v>0.71157076923076923</v>
      </c>
      <c r="J62" s="37">
        <v>5000</v>
      </c>
      <c r="K62" s="36">
        <f t="shared" si="2"/>
        <v>0.25008399999999997</v>
      </c>
      <c r="L62" s="54">
        <v>5800</v>
      </c>
      <c r="M62" s="36">
        <f t="shared" si="3"/>
        <v>0.35352068965517236</v>
      </c>
      <c r="N62" s="38">
        <v>3378.37</v>
      </c>
      <c r="O62" s="58">
        <f t="shared" si="14"/>
        <v>3749.9906999999998</v>
      </c>
      <c r="P62" s="129">
        <v>5000</v>
      </c>
      <c r="Q62" s="65">
        <f t="shared" si="4"/>
        <v>0.25000186000000002</v>
      </c>
      <c r="R62" s="147">
        <v>5800</v>
      </c>
      <c r="S62" s="97">
        <f t="shared" si="5"/>
        <v>0.35344987931034477</v>
      </c>
      <c r="T62" s="135">
        <v>6400</v>
      </c>
      <c r="U62" s="52">
        <f t="shared" si="6"/>
        <v>0.41406395312499999</v>
      </c>
      <c r="V62" s="82">
        <v>7500</v>
      </c>
      <c r="W62" s="52">
        <f t="shared" si="7"/>
        <v>0.5000012399999999</v>
      </c>
      <c r="X62" s="82">
        <v>9400</v>
      </c>
      <c r="Y62" s="52">
        <f t="shared" si="8"/>
        <v>0.60106481914893606</v>
      </c>
      <c r="Z62" s="82">
        <v>12500</v>
      </c>
      <c r="AA62" s="52">
        <f t="shared" si="9"/>
        <v>0.70000074400000012</v>
      </c>
      <c r="AB62" s="111">
        <f t="shared" si="15"/>
        <v>5300</v>
      </c>
    </row>
    <row r="63" spans="1:28" ht="30" customHeight="1" x14ac:dyDescent="0.25">
      <c r="A63" s="40" t="s">
        <v>534</v>
      </c>
      <c r="B63" s="43" t="s">
        <v>372</v>
      </c>
      <c r="C63" s="42">
        <v>8998009010248</v>
      </c>
      <c r="D63" s="37">
        <v>5090.09</v>
      </c>
      <c r="E63" s="37">
        <f t="shared" si="13"/>
        <v>5649.9998999999998</v>
      </c>
      <c r="F63" s="35">
        <v>9600</v>
      </c>
      <c r="G63" s="36">
        <f t="shared" si="0"/>
        <v>0.41145834375000001</v>
      </c>
      <c r="H63" s="37">
        <v>19100</v>
      </c>
      <c r="I63" s="36">
        <f t="shared" si="1"/>
        <v>0.70418848691099467</v>
      </c>
      <c r="J63" s="37">
        <v>7900</v>
      </c>
      <c r="K63" s="36">
        <f t="shared" si="2"/>
        <v>0.28481013924050624</v>
      </c>
      <c r="L63" s="54">
        <v>8700</v>
      </c>
      <c r="M63" s="36">
        <f t="shared" si="3"/>
        <v>0.350574724137931</v>
      </c>
      <c r="N63" s="120">
        <v>5349.54</v>
      </c>
      <c r="O63" s="79">
        <f t="shared" si="14"/>
        <v>5937.9894000000004</v>
      </c>
      <c r="P63" s="86">
        <v>8600</v>
      </c>
      <c r="Q63" s="65">
        <f t="shared" si="4"/>
        <v>0.30953611627906968</v>
      </c>
      <c r="R63" s="147">
        <v>9199</v>
      </c>
      <c r="S63" s="97">
        <f t="shared" si="5"/>
        <v>0.35449620610935972</v>
      </c>
      <c r="T63" s="135">
        <v>10100</v>
      </c>
      <c r="U63" s="52">
        <f t="shared" si="6"/>
        <v>0.41208025742574245</v>
      </c>
      <c r="V63" s="82">
        <v>11800</v>
      </c>
      <c r="W63" s="52">
        <f t="shared" si="7"/>
        <v>0.49678055932203391</v>
      </c>
      <c r="X63" s="82">
        <v>15000</v>
      </c>
      <c r="Y63" s="52">
        <f t="shared" si="8"/>
        <v>0.60413403999999993</v>
      </c>
      <c r="Z63" s="82">
        <v>20000</v>
      </c>
      <c r="AA63" s="52">
        <f t="shared" si="9"/>
        <v>0.70310052999999995</v>
      </c>
      <c r="AB63" s="111">
        <f t="shared" si="15"/>
        <v>8200</v>
      </c>
    </row>
    <row r="64" spans="1:28" ht="33" customHeight="1" x14ac:dyDescent="0.25">
      <c r="A64" s="40" t="s">
        <v>535</v>
      </c>
      <c r="B64" s="43" t="s">
        <v>373</v>
      </c>
      <c r="C64" s="42">
        <v>8998009010224</v>
      </c>
      <c r="D64" s="37">
        <v>5090.09</v>
      </c>
      <c r="E64" s="37">
        <f t="shared" si="13"/>
        <v>5649.9998999999998</v>
      </c>
      <c r="F64" s="35">
        <v>9600</v>
      </c>
      <c r="G64" s="36">
        <f t="shared" si="0"/>
        <v>0.41145834375000001</v>
      </c>
      <c r="H64" s="37">
        <v>19100</v>
      </c>
      <c r="I64" s="36">
        <f t="shared" si="1"/>
        <v>0.70418848691099467</v>
      </c>
      <c r="J64" s="37">
        <v>7900</v>
      </c>
      <c r="K64" s="36">
        <f t="shared" si="2"/>
        <v>0.28481013924050624</v>
      </c>
      <c r="L64" s="54">
        <v>8700</v>
      </c>
      <c r="M64" s="36">
        <f t="shared" si="3"/>
        <v>0.350574724137931</v>
      </c>
      <c r="N64" s="120">
        <v>5349.54</v>
      </c>
      <c r="O64" s="79">
        <f>(N64*11%)+N64</f>
        <v>5937.9894000000004</v>
      </c>
      <c r="P64" s="86">
        <v>8600</v>
      </c>
      <c r="Q64" s="65">
        <f t="shared" si="4"/>
        <v>0.30953611627906968</v>
      </c>
      <c r="R64" s="147">
        <v>9199</v>
      </c>
      <c r="S64" s="97">
        <f t="shared" si="5"/>
        <v>0.35449620610935972</v>
      </c>
      <c r="T64" s="135">
        <v>10100</v>
      </c>
      <c r="U64" s="52">
        <f t="shared" si="6"/>
        <v>0.41208025742574245</v>
      </c>
      <c r="V64" s="82">
        <v>11800</v>
      </c>
      <c r="W64" s="52">
        <f t="shared" si="7"/>
        <v>0.49678055932203391</v>
      </c>
      <c r="X64" s="82">
        <v>15000</v>
      </c>
      <c r="Y64" s="52">
        <f t="shared" si="8"/>
        <v>0.60413403999999993</v>
      </c>
      <c r="Z64" s="82">
        <v>20000</v>
      </c>
      <c r="AA64" s="52">
        <f t="shared" si="9"/>
        <v>0.70310052999999995</v>
      </c>
      <c r="AB64" s="111">
        <f t="shared" si="15"/>
        <v>8200</v>
      </c>
    </row>
    <row r="65" spans="1:28" ht="36.75" customHeight="1" x14ac:dyDescent="0.25">
      <c r="A65" s="40" t="s">
        <v>536</v>
      </c>
      <c r="B65" s="44" t="s">
        <v>360</v>
      </c>
      <c r="C65" s="42">
        <v>8998009010552</v>
      </c>
      <c r="D65" s="37">
        <v>3963.96</v>
      </c>
      <c r="E65" s="37">
        <f t="shared" ref="E65:E91" si="16">(D65*11%)+D65</f>
        <v>4399.9956000000002</v>
      </c>
      <c r="F65" s="35">
        <v>7500</v>
      </c>
      <c r="G65" s="36">
        <f t="shared" si="0"/>
        <v>0.41333391999999985</v>
      </c>
      <c r="H65" s="37">
        <v>14900</v>
      </c>
      <c r="I65" s="36">
        <f t="shared" si="1"/>
        <v>0.70469828187919459</v>
      </c>
      <c r="J65" s="37">
        <v>6300</v>
      </c>
      <c r="K65" s="36">
        <f t="shared" si="2"/>
        <v>0.30158799999999986</v>
      </c>
      <c r="L65" s="54">
        <v>6800</v>
      </c>
      <c r="M65" s="36">
        <f t="shared" si="3"/>
        <v>0.35294182352941161</v>
      </c>
      <c r="N65" s="120">
        <v>4129.12</v>
      </c>
      <c r="O65" s="79">
        <f t="shared" ref="O65:O91" si="17">(N65*11%)+N65</f>
        <v>4583.3231999999998</v>
      </c>
      <c r="P65" s="86">
        <v>7000</v>
      </c>
      <c r="Q65" s="65">
        <f t="shared" si="4"/>
        <v>0.34523954285714276</v>
      </c>
      <c r="R65" s="147">
        <v>7100</v>
      </c>
      <c r="S65" s="97">
        <f t="shared" si="5"/>
        <v>0.35446152112676055</v>
      </c>
      <c r="T65" s="136">
        <v>7800</v>
      </c>
      <c r="U65" s="52">
        <f t="shared" si="6"/>
        <v>0.41239446153846154</v>
      </c>
      <c r="V65" s="82">
        <v>9200</v>
      </c>
      <c r="W65" s="52">
        <f t="shared" si="7"/>
        <v>0.5018126956521739</v>
      </c>
      <c r="X65" s="82">
        <v>11600</v>
      </c>
      <c r="Y65" s="52">
        <f t="shared" si="8"/>
        <v>0.60488593103448274</v>
      </c>
      <c r="Z65" s="82">
        <v>15400</v>
      </c>
      <c r="AA65" s="52">
        <f t="shared" si="9"/>
        <v>0.70238161038961033</v>
      </c>
      <c r="AB65" s="111">
        <f t="shared" si="15"/>
        <v>6600</v>
      </c>
    </row>
    <row r="66" spans="1:28" ht="32.25" customHeight="1" x14ac:dyDescent="0.25">
      <c r="A66" s="40" t="s">
        <v>537</v>
      </c>
      <c r="B66" s="43" t="s">
        <v>340</v>
      </c>
      <c r="C66" s="42">
        <v>8998009010231</v>
      </c>
      <c r="D66" s="33">
        <v>5090.09</v>
      </c>
      <c r="E66" s="37">
        <f t="shared" si="16"/>
        <v>5649.9998999999998</v>
      </c>
      <c r="F66" s="35">
        <v>9600</v>
      </c>
      <c r="G66" s="36">
        <f t="shared" si="0"/>
        <v>0.41145834375000001</v>
      </c>
      <c r="H66" s="37">
        <v>19100</v>
      </c>
      <c r="I66" s="36">
        <f t="shared" si="1"/>
        <v>0.70418848691099467</v>
      </c>
      <c r="J66" s="37">
        <v>7900</v>
      </c>
      <c r="K66" s="36">
        <f t="shared" si="2"/>
        <v>0.28481013924050624</v>
      </c>
      <c r="L66" s="54">
        <v>8700</v>
      </c>
      <c r="M66" s="36">
        <f t="shared" si="3"/>
        <v>0.350574724137931</v>
      </c>
      <c r="N66" s="120">
        <v>5349.54</v>
      </c>
      <c r="O66" s="79">
        <f t="shared" si="17"/>
        <v>5937.9894000000004</v>
      </c>
      <c r="P66" s="86">
        <v>8600</v>
      </c>
      <c r="Q66" s="65">
        <f t="shared" si="4"/>
        <v>0.30953611627906968</v>
      </c>
      <c r="R66" s="147">
        <v>9199</v>
      </c>
      <c r="S66" s="97">
        <f t="shared" si="5"/>
        <v>0.35449620610935972</v>
      </c>
      <c r="T66" s="136">
        <v>10100</v>
      </c>
      <c r="U66" s="52">
        <f t="shared" ref="U66:U123" si="18">(T66/1.11-N66)/T66*1.11</f>
        <v>0.41208025742574245</v>
      </c>
      <c r="V66" s="82">
        <v>11800</v>
      </c>
      <c r="W66" s="52">
        <f t="shared" si="7"/>
        <v>0.49678055932203391</v>
      </c>
      <c r="X66" s="82">
        <v>14800</v>
      </c>
      <c r="Y66" s="52">
        <f t="shared" si="8"/>
        <v>0.59878449999999994</v>
      </c>
      <c r="Z66" s="82">
        <v>20000</v>
      </c>
      <c r="AA66" s="52">
        <f t="shared" si="9"/>
        <v>0.70310052999999995</v>
      </c>
      <c r="AB66" s="111">
        <f t="shared" si="15"/>
        <v>8200</v>
      </c>
    </row>
    <row r="67" spans="1:28" ht="29.25" customHeight="1" x14ac:dyDescent="0.25">
      <c r="A67" s="40" t="s">
        <v>538</v>
      </c>
      <c r="B67" s="43" t="s">
        <v>704</v>
      </c>
      <c r="C67" s="42">
        <v>8998009010569</v>
      </c>
      <c r="D67" s="33">
        <v>3963.96</v>
      </c>
      <c r="E67" s="37">
        <f t="shared" si="16"/>
        <v>4399.9956000000002</v>
      </c>
      <c r="F67" s="35">
        <v>7500</v>
      </c>
      <c r="G67" s="36">
        <f t="shared" ref="G67:G77" si="19">(F67/1.11-D67)/F67*1.11</f>
        <v>0.41333391999999985</v>
      </c>
      <c r="H67" s="37">
        <v>14900</v>
      </c>
      <c r="I67" s="36">
        <f t="shared" ref="I67:I77" si="20">(H67/1.11-D67)/H67*1.11</f>
        <v>0.70469828187919459</v>
      </c>
      <c r="J67" s="37">
        <v>6300</v>
      </c>
      <c r="K67" s="36">
        <f t="shared" ref="K67:K77" si="21">(J67/1.11-D67)/J67*1.11</f>
        <v>0.30158799999999986</v>
      </c>
      <c r="L67" s="54">
        <v>6800</v>
      </c>
      <c r="M67" s="36">
        <f t="shared" ref="M67:M77" si="22">(L67/1.11-D67)/L67*1.11</f>
        <v>0.35294182352941161</v>
      </c>
      <c r="N67" s="120">
        <v>4128.82</v>
      </c>
      <c r="O67" s="79">
        <f t="shared" si="17"/>
        <v>4582.9901999999993</v>
      </c>
      <c r="P67" s="86">
        <v>7000</v>
      </c>
      <c r="Q67" s="65">
        <f t="shared" ref="Q67:Q84" si="23">(P67/1.11-N67)/P67*1.11</f>
        <v>0.34528711428571424</v>
      </c>
      <c r="R67" s="125">
        <v>7000</v>
      </c>
      <c r="S67" s="97">
        <f t="shared" ref="S67:S84" si="24">(R67/1.11-N67)/R67*1.11</f>
        <v>0.34528711428571424</v>
      </c>
      <c r="T67" s="136">
        <v>7800</v>
      </c>
      <c r="U67" s="52">
        <f t="shared" si="18"/>
        <v>0.41243715384615387</v>
      </c>
      <c r="V67" s="82">
        <v>9200</v>
      </c>
      <c r="W67" s="52">
        <f t="shared" ref="W67:W124" si="25">(V67/1.11-N67)/V67*1.11</f>
        <v>0.50184889130434784</v>
      </c>
      <c r="X67" s="82">
        <v>11600</v>
      </c>
      <c r="Y67" s="52">
        <f t="shared" ref="Y67:Y124" si="26">(X67/1.11-N67)/X67*1.11</f>
        <v>0.6049146379310345</v>
      </c>
      <c r="Z67" s="82">
        <v>15400</v>
      </c>
      <c r="AA67" s="52">
        <f t="shared" ref="AA67:AA124" si="27">(Z67/1.11-N67)/Z67*1.11</f>
        <v>0.7024032337662337</v>
      </c>
      <c r="AB67" s="111">
        <f t="shared" si="15"/>
        <v>6600</v>
      </c>
    </row>
    <row r="68" spans="1:28" ht="28.5" customHeight="1" x14ac:dyDescent="0.25">
      <c r="A68" s="40" t="s">
        <v>539</v>
      </c>
      <c r="B68" s="43" t="s">
        <v>350</v>
      </c>
      <c r="C68" s="42">
        <v>8992761002022</v>
      </c>
      <c r="D68" s="33">
        <v>4707.2</v>
      </c>
      <c r="E68" s="37">
        <f t="shared" si="16"/>
        <v>5224.9920000000002</v>
      </c>
      <c r="F68" s="35">
        <v>8900</v>
      </c>
      <c r="G68" s="36">
        <f t="shared" si="19"/>
        <v>0.41292224719101128</v>
      </c>
      <c r="H68" s="37">
        <v>17600</v>
      </c>
      <c r="I68" s="36">
        <f t="shared" si="20"/>
        <v>0.7031254545454545</v>
      </c>
      <c r="J68" s="37">
        <v>6500</v>
      </c>
      <c r="K68" s="36">
        <f t="shared" si="21"/>
        <v>0.19615507692307688</v>
      </c>
      <c r="L68" s="54">
        <v>8100</v>
      </c>
      <c r="M68" s="36">
        <f t="shared" si="22"/>
        <v>0.35493925925925923</v>
      </c>
      <c r="N68" s="38">
        <v>4707</v>
      </c>
      <c r="O68" s="58">
        <f t="shared" si="17"/>
        <v>5224.7700000000004</v>
      </c>
      <c r="P68" s="129">
        <v>7000</v>
      </c>
      <c r="Q68" s="65">
        <f t="shared" si="23"/>
        <v>0.25360428571428562</v>
      </c>
      <c r="R68" s="147">
        <v>8000</v>
      </c>
      <c r="S68" s="97">
        <f t="shared" si="24"/>
        <v>0.34690375000000001</v>
      </c>
      <c r="T68" s="136">
        <v>8900</v>
      </c>
      <c r="U68" s="52">
        <f t="shared" si="18"/>
        <v>0.41294719101123595</v>
      </c>
      <c r="V68" s="82">
        <v>10500</v>
      </c>
      <c r="W68" s="52">
        <f t="shared" si="25"/>
        <v>0.50240285714285704</v>
      </c>
      <c r="X68" s="82">
        <v>13100</v>
      </c>
      <c r="Y68" s="52">
        <f t="shared" si="26"/>
        <v>0.60116259541984729</v>
      </c>
      <c r="Z68" s="82">
        <v>17500</v>
      </c>
      <c r="AA68" s="52">
        <f t="shared" si="27"/>
        <v>0.70144171428571411</v>
      </c>
      <c r="AB68" s="111">
        <f t="shared" si="15"/>
        <v>6800</v>
      </c>
    </row>
    <row r="69" spans="1:28" ht="24.75" customHeight="1" x14ac:dyDescent="0.25">
      <c r="A69" s="40" t="s">
        <v>540</v>
      </c>
      <c r="B69" s="75" t="s">
        <v>109</v>
      </c>
      <c r="C69" s="42">
        <v>8999999000066</v>
      </c>
      <c r="D69" s="37">
        <v>3591</v>
      </c>
      <c r="E69" s="37">
        <f t="shared" si="16"/>
        <v>3986.01</v>
      </c>
      <c r="F69" s="35">
        <v>6800</v>
      </c>
      <c r="G69" s="36">
        <f t="shared" si="19"/>
        <v>0.41382205882352929</v>
      </c>
      <c r="H69" s="37">
        <v>13500</v>
      </c>
      <c r="I69" s="36">
        <f t="shared" si="20"/>
        <v>0.70474000000000003</v>
      </c>
      <c r="J69" s="37">
        <v>6200</v>
      </c>
      <c r="K69" s="36">
        <f t="shared" si="21"/>
        <v>0.35709516129032254</v>
      </c>
      <c r="L69" s="54">
        <v>6100</v>
      </c>
      <c r="M69" s="36">
        <f t="shared" si="22"/>
        <v>0.34655573770491793</v>
      </c>
      <c r="N69" s="38">
        <v>3847.6109999999999</v>
      </c>
      <c r="O69" s="58">
        <v>3986</v>
      </c>
      <c r="P69" s="86">
        <v>6200</v>
      </c>
      <c r="Q69" s="65">
        <f t="shared" si="23"/>
        <v>0.31115351451612899</v>
      </c>
      <c r="R69" s="147">
        <v>6600</v>
      </c>
      <c r="S69" s="97">
        <f t="shared" si="24"/>
        <v>0.35290178636363639</v>
      </c>
      <c r="T69" s="136">
        <v>7200</v>
      </c>
      <c r="U69" s="52">
        <f t="shared" si="18"/>
        <v>0.40682663749999998</v>
      </c>
      <c r="V69" s="82">
        <v>8500</v>
      </c>
      <c r="W69" s="52">
        <f t="shared" si="25"/>
        <v>0.49754726941176469</v>
      </c>
      <c r="X69" s="82">
        <v>10600</v>
      </c>
      <c r="Y69" s="52">
        <f t="shared" si="26"/>
        <v>0.59708979150943398</v>
      </c>
      <c r="Z69" s="82">
        <v>14200</v>
      </c>
      <c r="AA69" s="52">
        <f t="shared" si="27"/>
        <v>0.69923604154929575</v>
      </c>
      <c r="AB69" s="111">
        <f t="shared" si="15"/>
        <v>6500</v>
      </c>
    </row>
    <row r="70" spans="1:28" ht="27" customHeight="1" x14ac:dyDescent="0.25">
      <c r="A70" s="40" t="s">
        <v>541</v>
      </c>
      <c r="B70" s="43" t="s">
        <v>355</v>
      </c>
      <c r="C70" s="42">
        <v>8997204670349</v>
      </c>
      <c r="D70" s="37">
        <v>4812.5</v>
      </c>
      <c r="E70" s="37">
        <f t="shared" si="16"/>
        <v>5341.875</v>
      </c>
      <c r="F70" s="35">
        <v>9100</v>
      </c>
      <c r="G70" s="36">
        <f t="shared" si="19"/>
        <v>0.41298076923076915</v>
      </c>
      <c r="H70" s="37">
        <v>18100</v>
      </c>
      <c r="I70" s="36">
        <f t="shared" si="20"/>
        <v>0.70486878453038682</v>
      </c>
      <c r="J70" s="37">
        <v>7300</v>
      </c>
      <c r="K70" s="36">
        <f t="shared" si="21"/>
        <v>0.26823630136986298</v>
      </c>
      <c r="L70" s="54">
        <v>8200</v>
      </c>
      <c r="M70" s="36">
        <f t="shared" si="22"/>
        <v>0.34855182926829259</v>
      </c>
      <c r="N70" s="38">
        <v>4813</v>
      </c>
      <c r="O70" s="58">
        <f t="shared" si="17"/>
        <v>5342.43</v>
      </c>
      <c r="P70" s="86">
        <v>7300</v>
      </c>
      <c r="Q70" s="65">
        <f t="shared" si="23"/>
        <v>0.26816027397260273</v>
      </c>
      <c r="R70" s="147">
        <v>8200</v>
      </c>
      <c r="S70" s="97">
        <f t="shared" si="24"/>
        <v>0.3484841463414633</v>
      </c>
      <c r="T70" s="136">
        <v>9100</v>
      </c>
      <c r="U70" s="52">
        <f t="shared" si="18"/>
        <v>0.4129197802197801</v>
      </c>
      <c r="V70" s="82">
        <v>10600</v>
      </c>
      <c r="W70" s="52">
        <f t="shared" si="25"/>
        <v>0.49599716981132075</v>
      </c>
      <c r="X70" s="84">
        <v>13200</v>
      </c>
      <c r="Y70" s="52">
        <f t="shared" si="26"/>
        <v>0.59527045454545457</v>
      </c>
      <c r="Z70" s="82">
        <v>18000</v>
      </c>
      <c r="AA70" s="52">
        <f t="shared" si="27"/>
        <v>0.70319833333333326</v>
      </c>
      <c r="AB70" s="111">
        <f t="shared" si="15"/>
        <v>7600</v>
      </c>
    </row>
    <row r="71" spans="1:28" ht="30" customHeight="1" x14ac:dyDescent="0.25">
      <c r="A71" s="40" t="s">
        <v>542</v>
      </c>
      <c r="B71" s="41" t="s">
        <v>342</v>
      </c>
      <c r="C71" s="42">
        <v>8996001302026</v>
      </c>
      <c r="D71" s="33">
        <v>5090.09</v>
      </c>
      <c r="E71" s="37">
        <f t="shared" si="16"/>
        <v>5649.9998999999998</v>
      </c>
      <c r="F71" s="35">
        <v>9600</v>
      </c>
      <c r="G71" s="36">
        <f t="shared" si="19"/>
        <v>0.41145834375000001</v>
      </c>
      <c r="H71" s="37">
        <v>19100</v>
      </c>
      <c r="I71" s="36">
        <f t="shared" si="20"/>
        <v>0.70418848691099467</v>
      </c>
      <c r="J71" s="37">
        <v>9700</v>
      </c>
      <c r="K71" s="36">
        <f t="shared" si="21"/>
        <v>0.41752578350515451</v>
      </c>
      <c r="L71" s="54">
        <v>8700</v>
      </c>
      <c r="M71" s="36">
        <f t="shared" si="22"/>
        <v>0.350574724137931</v>
      </c>
      <c r="N71" s="38">
        <v>5090</v>
      </c>
      <c r="O71" s="58">
        <f t="shared" si="17"/>
        <v>5649.9</v>
      </c>
      <c r="P71" s="86">
        <v>9800</v>
      </c>
      <c r="Q71" s="65">
        <f t="shared" si="23"/>
        <v>0.42347959183673461</v>
      </c>
      <c r="R71" s="147">
        <v>9800</v>
      </c>
      <c r="S71" s="97">
        <f t="shared" si="24"/>
        <v>0.42347959183673461</v>
      </c>
      <c r="T71" s="135">
        <v>9800</v>
      </c>
      <c r="U71" s="52">
        <f t="shared" si="18"/>
        <v>0.42347959183673461</v>
      </c>
      <c r="V71" s="82">
        <v>11400</v>
      </c>
      <c r="W71" s="52">
        <f t="shared" si="25"/>
        <v>0.50439473684210523</v>
      </c>
      <c r="X71" s="84">
        <v>14200</v>
      </c>
      <c r="Y71" s="52">
        <f t="shared" si="26"/>
        <v>0.60211971830985911</v>
      </c>
      <c r="Z71" s="82">
        <v>18800</v>
      </c>
      <c r="AA71" s="52">
        <f t="shared" si="27"/>
        <v>0.69947340425531912</v>
      </c>
      <c r="AB71" s="111">
        <f t="shared" si="15"/>
        <v>10000</v>
      </c>
    </row>
    <row r="72" spans="1:28" ht="25.5" customHeight="1" x14ac:dyDescent="0.25">
      <c r="A72" s="40" t="s">
        <v>543</v>
      </c>
      <c r="B72" s="43" t="s">
        <v>40</v>
      </c>
      <c r="C72" s="42">
        <v>8997204670332</v>
      </c>
      <c r="D72" s="37">
        <v>4812.5</v>
      </c>
      <c r="E72" s="37">
        <f t="shared" si="16"/>
        <v>5341.875</v>
      </c>
      <c r="F72" s="35">
        <v>9100</v>
      </c>
      <c r="G72" s="36">
        <f t="shared" si="19"/>
        <v>0.41298076923076915</v>
      </c>
      <c r="H72" s="37">
        <v>18100</v>
      </c>
      <c r="I72" s="36">
        <f t="shared" si="20"/>
        <v>0.70486878453038682</v>
      </c>
      <c r="J72" s="37">
        <v>7300</v>
      </c>
      <c r="K72" s="36">
        <f t="shared" si="21"/>
        <v>0.26823630136986298</v>
      </c>
      <c r="L72" s="54">
        <v>8200</v>
      </c>
      <c r="M72" s="36">
        <f t="shared" si="22"/>
        <v>0.34855182926829259</v>
      </c>
      <c r="N72" s="38">
        <v>4813</v>
      </c>
      <c r="O72" s="58">
        <f t="shared" si="17"/>
        <v>5342.43</v>
      </c>
      <c r="P72" s="86">
        <v>7300</v>
      </c>
      <c r="Q72" s="65">
        <f t="shared" si="23"/>
        <v>0.26816027397260273</v>
      </c>
      <c r="R72" s="147">
        <v>8200</v>
      </c>
      <c r="S72" s="97">
        <f t="shared" si="24"/>
        <v>0.3484841463414633</v>
      </c>
      <c r="T72" s="135">
        <v>9100</v>
      </c>
      <c r="U72" s="52">
        <f t="shared" si="18"/>
        <v>0.4129197802197801</v>
      </c>
      <c r="V72" s="82">
        <v>10700</v>
      </c>
      <c r="W72" s="52">
        <f t="shared" si="25"/>
        <v>0.50070747663551407</v>
      </c>
      <c r="X72" s="84">
        <v>13400</v>
      </c>
      <c r="Y72" s="52">
        <f t="shared" si="26"/>
        <v>0.60131119402985067</v>
      </c>
      <c r="Z72" s="82">
        <v>18000</v>
      </c>
      <c r="AA72" s="52">
        <f t="shared" si="27"/>
        <v>0.70319833333333326</v>
      </c>
      <c r="AB72" s="111">
        <f t="shared" si="15"/>
        <v>7600</v>
      </c>
    </row>
    <row r="73" spans="1:28" ht="25.5" customHeight="1" x14ac:dyDescent="0.25">
      <c r="A73" s="40" t="s">
        <v>544</v>
      </c>
      <c r="B73" s="43" t="s">
        <v>102</v>
      </c>
      <c r="C73" s="42">
        <v>8997204670462</v>
      </c>
      <c r="D73" s="37">
        <v>4812.5</v>
      </c>
      <c r="E73" s="37">
        <f t="shared" si="16"/>
        <v>5341.875</v>
      </c>
      <c r="F73" s="35">
        <v>9100</v>
      </c>
      <c r="G73" s="36">
        <f t="shared" si="19"/>
        <v>0.41298076923076915</v>
      </c>
      <c r="H73" s="37">
        <v>18100</v>
      </c>
      <c r="I73" s="36">
        <f t="shared" si="20"/>
        <v>0.70486878453038682</v>
      </c>
      <c r="J73" s="37">
        <v>7300</v>
      </c>
      <c r="K73" s="36">
        <f t="shared" si="21"/>
        <v>0.26823630136986298</v>
      </c>
      <c r="L73" s="54">
        <v>8200</v>
      </c>
      <c r="M73" s="36">
        <f t="shared" si="22"/>
        <v>0.34855182926829259</v>
      </c>
      <c r="N73" s="38">
        <v>4813</v>
      </c>
      <c r="O73" s="58">
        <v>5065</v>
      </c>
      <c r="P73" s="86">
        <v>7300</v>
      </c>
      <c r="Q73" s="65">
        <f t="shared" si="23"/>
        <v>0.26816027397260273</v>
      </c>
      <c r="R73" s="147">
        <v>8200</v>
      </c>
      <c r="S73" s="97">
        <f t="shared" si="24"/>
        <v>0.3484841463414633</v>
      </c>
      <c r="T73" s="135">
        <v>9100</v>
      </c>
      <c r="U73" s="52">
        <f t="shared" si="18"/>
        <v>0.4129197802197801</v>
      </c>
      <c r="V73" s="82">
        <v>10700</v>
      </c>
      <c r="W73" s="52">
        <f t="shared" si="25"/>
        <v>0.50070747663551407</v>
      </c>
      <c r="X73" s="82">
        <v>13400</v>
      </c>
      <c r="Y73" s="52">
        <f t="shared" si="26"/>
        <v>0.60131119402985067</v>
      </c>
      <c r="Z73" s="82">
        <v>18000</v>
      </c>
      <c r="AA73" s="52">
        <f t="shared" si="27"/>
        <v>0.70319833333333326</v>
      </c>
      <c r="AB73" s="111">
        <f t="shared" si="15"/>
        <v>7600</v>
      </c>
    </row>
    <row r="74" spans="1:28" ht="29.25" customHeight="1" x14ac:dyDescent="0.25">
      <c r="A74" s="40" t="s">
        <v>545</v>
      </c>
      <c r="B74" s="43" t="s">
        <v>705</v>
      </c>
      <c r="C74" s="42">
        <v>8996001302637</v>
      </c>
      <c r="D74" s="37">
        <v>5405.4</v>
      </c>
      <c r="E74" s="37">
        <f t="shared" si="16"/>
        <v>5999.9939999999997</v>
      </c>
      <c r="F74" s="35">
        <v>10200</v>
      </c>
      <c r="G74" s="36">
        <f t="shared" si="19"/>
        <v>0.41176529411764701</v>
      </c>
      <c r="H74" s="37">
        <v>20000</v>
      </c>
      <c r="I74" s="36">
        <f t="shared" si="20"/>
        <v>0.70000030000000002</v>
      </c>
      <c r="J74" s="37">
        <v>9900</v>
      </c>
      <c r="K74" s="36">
        <f t="shared" si="21"/>
        <v>0.39394000000000001</v>
      </c>
      <c r="L74" s="54">
        <v>9200</v>
      </c>
      <c r="M74" s="36">
        <f t="shared" si="22"/>
        <v>0.34782673913043477</v>
      </c>
      <c r="N74" s="38">
        <v>5405.4</v>
      </c>
      <c r="O74" s="58">
        <f t="shared" si="17"/>
        <v>5999.9939999999997</v>
      </c>
      <c r="P74" s="86">
        <v>10000</v>
      </c>
      <c r="Q74" s="65">
        <f t="shared" si="23"/>
        <v>0.40000060000000009</v>
      </c>
      <c r="R74" s="125">
        <v>10000</v>
      </c>
      <c r="S74" s="97">
        <f t="shared" si="24"/>
        <v>0.40000060000000009</v>
      </c>
      <c r="T74" s="135">
        <v>10200</v>
      </c>
      <c r="U74" s="52">
        <f t="shared" si="18"/>
        <v>0.41176529411764701</v>
      </c>
      <c r="V74" s="82">
        <v>11900</v>
      </c>
      <c r="W74" s="52">
        <f t="shared" si="25"/>
        <v>0.49579882352941168</v>
      </c>
      <c r="X74" s="82">
        <v>15000</v>
      </c>
      <c r="Y74" s="52">
        <f t="shared" si="26"/>
        <v>0.60000039999999988</v>
      </c>
      <c r="Z74" s="82">
        <v>20000</v>
      </c>
      <c r="AA74" s="52">
        <f t="shared" si="27"/>
        <v>0.70000030000000002</v>
      </c>
      <c r="AB74" s="111">
        <f t="shared" si="15"/>
        <v>10200</v>
      </c>
    </row>
    <row r="75" spans="1:28" ht="31.5" customHeight="1" x14ac:dyDescent="0.25">
      <c r="A75" s="40" t="s">
        <v>546</v>
      </c>
      <c r="B75" s="43" t="s">
        <v>12</v>
      </c>
      <c r="C75" s="42">
        <v>8996001302323</v>
      </c>
      <c r="D75" s="37">
        <v>5090.09</v>
      </c>
      <c r="E75" s="37">
        <f t="shared" si="16"/>
        <v>5649.9998999999998</v>
      </c>
      <c r="F75" s="35">
        <v>9600</v>
      </c>
      <c r="G75" s="36">
        <f t="shared" si="19"/>
        <v>0.41145834375000001</v>
      </c>
      <c r="H75" s="37">
        <v>19100</v>
      </c>
      <c r="I75" s="36">
        <f t="shared" si="20"/>
        <v>0.70418848691099467</v>
      </c>
      <c r="J75" s="37">
        <v>9700</v>
      </c>
      <c r="K75" s="36">
        <f t="shared" si="21"/>
        <v>0.41752578350515451</v>
      </c>
      <c r="L75" s="54">
        <v>8700</v>
      </c>
      <c r="M75" s="36">
        <f t="shared" si="22"/>
        <v>0.350574724137931</v>
      </c>
      <c r="N75" s="38">
        <v>5090</v>
      </c>
      <c r="O75" s="58">
        <f t="shared" si="17"/>
        <v>5649.9</v>
      </c>
      <c r="P75" s="86">
        <v>9800</v>
      </c>
      <c r="Q75" s="65">
        <f t="shared" si="23"/>
        <v>0.42347959183673461</v>
      </c>
      <c r="R75" s="147">
        <v>9800</v>
      </c>
      <c r="S75" s="97">
        <f t="shared" si="24"/>
        <v>0.42347959183673461</v>
      </c>
      <c r="T75" s="135">
        <v>9800</v>
      </c>
      <c r="U75" s="52">
        <f t="shared" si="18"/>
        <v>0.42347959183673461</v>
      </c>
      <c r="V75" s="82">
        <v>11400</v>
      </c>
      <c r="W75" s="52">
        <f t="shared" si="25"/>
        <v>0.50439473684210523</v>
      </c>
      <c r="X75" s="82">
        <v>14200</v>
      </c>
      <c r="Y75" s="52">
        <f t="shared" si="26"/>
        <v>0.60211971830985911</v>
      </c>
      <c r="Z75" s="82">
        <v>19000</v>
      </c>
      <c r="AA75" s="52">
        <f t="shared" si="27"/>
        <v>0.70263684210526312</v>
      </c>
      <c r="AB75" s="111">
        <f t="shared" si="15"/>
        <v>10000</v>
      </c>
    </row>
    <row r="76" spans="1:28" ht="32.25" customHeight="1" x14ac:dyDescent="0.25">
      <c r="A76" s="40" t="s">
        <v>547</v>
      </c>
      <c r="B76" s="43" t="s">
        <v>392</v>
      </c>
      <c r="C76" s="42">
        <v>8997225870766</v>
      </c>
      <c r="D76" s="37">
        <v>1210.81</v>
      </c>
      <c r="E76" s="37">
        <f t="shared" si="16"/>
        <v>1343.9991</v>
      </c>
      <c r="F76" s="35">
        <v>2300</v>
      </c>
      <c r="G76" s="36">
        <f t="shared" si="19"/>
        <v>0.41565256521739136</v>
      </c>
      <c r="H76" s="37">
        <v>4500</v>
      </c>
      <c r="I76" s="36">
        <f t="shared" si="20"/>
        <v>0.70133353333333337</v>
      </c>
      <c r="J76" s="37">
        <v>2999</v>
      </c>
      <c r="K76" s="36">
        <f t="shared" si="21"/>
        <v>0.55185091697232402</v>
      </c>
      <c r="L76" s="54">
        <v>2100</v>
      </c>
      <c r="M76" s="36">
        <f t="shared" si="22"/>
        <v>0.3600004285714285</v>
      </c>
      <c r="N76" s="38">
        <v>1210.81</v>
      </c>
      <c r="O76" s="58">
        <f t="shared" si="17"/>
        <v>1343.9991</v>
      </c>
      <c r="P76" s="127">
        <v>3000</v>
      </c>
      <c r="Q76" s="65">
        <f t="shared" si="23"/>
        <v>0.5520003</v>
      </c>
      <c r="R76" s="147">
        <v>3000</v>
      </c>
      <c r="S76" s="97">
        <f t="shared" si="24"/>
        <v>0.5520003</v>
      </c>
      <c r="T76" s="135">
        <v>3180</v>
      </c>
      <c r="U76" s="52">
        <f t="shared" si="18"/>
        <v>0.57735877358490562</v>
      </c>
      <c r="V76" s="82">
        <v>3180</v>
      </c>
      <c r="W76" s="52">
        <f t="shared" si="25"/>
        <v>0.57735877358490562</v>
      </c>
      <c r="X76" s="82">
        <v>3400</v>
      </c>
      <c r="Y76" s="52">
        <f t="shared" si="26"/>
        <v>0.60470614705882342</v>
      </c>
      <c r="Z76" s="82">
        <v>4500</v>
      </c>
      <c r="AA76" s="52">
        <f t="shared" si="27"/>
        <v>0.70133353333333337</v>
      </c>
      <c r="AB76" s="111">
        <f t="shared" si="15"/>
        <v>3299</v>
      </c>
    </row>
    <row r="77" spans="1:28" ht="23.25" customHeight="1" x14ac:dyDescent="0.25">
      <c r="A77" s="40" t="s">
        <v>548</v>
      </c>
      <c r="B77" s="43" t="s">
        <v>393</v>
      </c>
      <c r="C77" s="42">
        <v>8997225870841</v>
      </c>
      <c r="D77" s="37">
        <v>1210.81</v>
      </c>
      <c r="E77" s="37">
        <f t="shared" si="16"/>
        <v>1343.9991</v>
      </c>
      <c r="F77" s="35">
        <v>2300</v>
      </c>
      <c r="G77" s="36">
        <f t="shared" si="19"/>
        <v>0.41565256521739136</v>
      </c>
      <c r="H77" s="37">
        <v>4500</v>
      </c>
      <c r="I77" s="36">
        <f t="shared" si="20"/>
        <v>0.70133353333333337</v>
      </c>
      <c r="J77" s="37">
        <v>2999</v>
      </c>
      <c r="K77" s="36">
        <f t="shared" si="21"/>
        <v>0.55185091697232402</v>
      </c>
      <c r="L77" s="54">
        <v>2100</v>
      </c>
      <c r="M77" s="36">
        <f t="shared" si="22"/>
        <v>0.3600004285714285</v>
      </c>
      <c r="N77" s="38">
        <v>1210.81</v>
      </c>
      <c r="O77" s="58">
        <f t="shared" si="17"/>
        <v>1343.9991</v>
      </c>
      <c r="P77" s="127">
        <v>3000</v>
      </c>
      <c r="Q77" s="65">
        <f t="shared" si="23"/>
        <v>0.5520003</v>
      </c>
      <c r="R77" s="147">
        <v>3000</v>
      </c>
      <c r="S77" s="97">
        <f t="shared" si="24"/>
        <v>0.5520003</v>
      </c>
      <c r="T77" s="136">
        <v>3180</v>
      </c>
      <c r="U77" s="52">
        <f t="shared" si="18"/>
        <v>0.57735877358490562</v>
      </c>
      <c r="V77" s="82">
        <v>3180</v>
      </c>
      <c r="W77" s="52">
        <f t="shared" si="25"/>
        <v>0.57735877358490562</v>
      </c>
      <c r="X77" s="82">
        <v>3400</v>
      </c>
      <c r="Y77" s="52">
        <f t="shared" si="26"/>
        <v>0.60470614705882342</v>
      </c>
      <c r="Z77" s="82">
        <v>4500</v>
      </c>
      <c r="AA77" s="52">
        <f t="shared" si="27"/>
        <v>0.70133353333333337</v>
      </c>
      <c r="AB77" s="111">
        <f t="shared" si="15"/>
        <v>3299</v>
      </c>
    </row>
    <row r="78" spans="1:28" ht="26.25" customHeight="1" x14ac:dyDescent="0.25">
      <c r="A78" s="40" t="s">
        <v>549</v>
      </c>
      <c r="B78" s="43" t="s">
        <v>383</v>
      </c>
      <c r="C78" s="42">
        <v>8998866201452</v>
      </c>
      <c r="D78" s="37">
        <v>4622</v>
      </c>
      <c r="E78" s="37">
        <f t="shared" si="16"/>
        <v>5130.42</v>
      </c>
      <c r="F78" s="35">
        <v>8700</v>
      </c>
      <c r="G78" s="36">
        <f t="shared" ref="G78:G91" si="28">(F78/1.11-D78)/F78*1.11</f>
        <v>0.41029655172413793</v>
      </c>
      <c r="H78" s="37">
        <v>17300</v>
      </c>
      <c r="I78" s="36">
        <f t="shared" ref="I78:I80" si="29">(H78/1.11-D78)/H78*1.11</f>
        <v>0.70344393063583821</v>
      </c>
      <c r="J78" s="33">
        <v>6400</v>
      </c>
      <c r="K78" s="36">
        <f t="shared" ref="K78:K91" si="30">(J78/1.11-D78)/J78*1.11</f>
        <v>0.198371875</v>
      </c>
      <c r="L78" s="54">
        <v>7900</v>
      </c>
      <c r="M78" s="36">
        <f t="shared" ref="M78:M91" si="31">(L78/1.11-D78)/L78*1.11</f>
        <v>0.35057974683544296</v>
      </c>
      <c r="N78" s="120">
        <v>3924.05</v>
      </c>
      <c r="O78" s="79">
        <f t="shared" si="17"/>
        <v>4355.6954999999998</v>
      </c>
      <c r="P78" s="127">
        <v>6400</v>
      </c>
      <c r="Q78" s="65">
        <f t="shared" si="23"/>
        <v>0.31942257812499997</v>
      </c>
      <c r="R78" s="147">
        <v>6999</v>
      </c>
      <c r="S78" s="97">
        <f t="shared" si="24"/>
        <v>0.37766888126875259</v>
      </c>
      <c r="T78" s="136">
        <v>8700</v>
      </c>
      <c r="U78" s="52">
        <f t="shared" si="18"/>
        <v>0.49934534482758619</v>
      </c>
      <c r="V78" s="82">
        <v>8700</v>
      </c>
      <c r="W78" s="52">
        <f t="shared" si="25"/>
        <v>0.49934534482758619</v>
      </c>
      <c r="X78" s="82">
        <v>10800</v>
      </c>
      <c r="Y78" s="52">
        <f t="shared" si="26"/>
        <v>0.59669486111111092</v>
      </c>
      <c r="Z78" s="82">
        <v>14500</v>
      </c>
      <c r="AA78" s="52">
        <f t="shared" si="27"/>
        <v>0.69960720689655187</v>
      </c>
      <c r="AB78" s="111">
        <f t="shared" si="15"/>
        <v>6700</v>
      </c>
    </row>
    <row r="79" spans="1:28" ht="27" customHeight="1" x14ac:dyDescent="0.25">
      <c r="A79" s="40" t="s">
        <v>649</v>
      </c>
      <c r="B79" s="75" t="s">
        <v>706</v>
      </c>
      <c r="C79" s="42">
        <v>8994251000334</v>
      </c>
      <c r="D79" s="37">
        <v>1801.8</v>
      </c>
      <c r="E79" s="37">
        <f t="shared" si="16"/>
        <v>1999.998</v>
      </c>
      <c r="F79" s="35">
        <v>3400</v>
      </c>
      <c r="G79" s="36">
        <f t="shared" si="28"/>
        <v>0.41176529411764695</v>
      </c>
      <c r="H79" s="37">
        <v>6700</v>
      </c>
      <c r="I79" s="36">
        <f t="shared" si="29"/>
        <v>0.70149283582089539</v>
      </c>
      <c r="J79" s="33">
        <v>2999</v>
      </c>
      <c r="K79" s="36">
        <f t="shared" si="30"/>
        <v>0.33311170390130035</v>
      </c>
      <c r="L79" s="54">
        <v>3100</v>
      </c>
      <c r="M79" s="36">
        <f t="shared" si="31"/>
        <v>0.35483935483870965</v>
      </c>
      <c r="N79" s="38">
        <v>2069.36</v>
      </c>
      <c r="O79" s="58">
        <f t="shared" si="17"/>
        <v>2296.9896000000003</v>
      </c>
      <c r="P79" s="86">
        <v>2999</v>
      </c>
      <c r="Q79" s="65">
        <f t="shared" si="23"/>
        <v>0.23408149383127697</v>
      </c>
      <c r="R79" s="125">
        <v>3550</v>
      </c>
      <c r="S79" s="97">
        <f t="shared" si="24"/>
        <v>0.35296067605633796</v>
      </c>
      <c r="T79" s="135">
        <v>3900</v>
      </c>
      <c r="U79" s="52">
        <f t="shared" si="18"/>
        <v>0.41102830769230764</v>
      </c>
      <c r="V79" s="82">
        <v>4600</v>
      </c>
      <c r="W79" s="52">
        <f t="shared" si="25"/>
        <v>0.50065443478260863</v>
      </c>
      <c r="X79" s="82">
        <v>5800</v>
      </c>
      <c r="Y79" s="52">
        <f t="shared" si="26"/>
        <v>0.60396731034482753</v>
      </c>
      <c r="Z79" s="82">
        <v>7600</v>
      </c>
      <c r="AA79" s="52">
        <f t="shared" si="27"/>
        <v>0.69776452631578956</v>
      </c>
      <c r="AB79" s="111">
        <f t="shared" si="15"/>
        <v>3299</v>
      </c>
    </row>
    <row r="80" spans="1:28" ht="22.5" customHeight="1" x14ac:dyDescent="0.25">
      <c r="A80" s="40" t="s">
        <v>650</v>
      </c>
      <c r="B80" s="75" t="s">
        <v>377</v>
      </c>
      <c r="C80" s="42">
        <v>8994251001393</v>
      </c>
      <c r="D80" s="37">
        <v>1486.49</v>
      </c>
      <c r="E80" s="37">
        <f t="shared" si="16"/>
        <v>1650.0038999999999</v>
      </c>
      <c r="F80" s="35">
        <v>2800</v>
      </c>
      <c r="G80" s="36">
        <f t="shared" si="28"/>
        <v>0.41071289285714274</v>
      </c>
      <c r="H80" s="37">
        <v>5500</v>
      </c>
      <c r="I80" s="36">
        <f t="shared" si="29"/>
        <v>0.69999929090909097</v>
      </c>
      <c r="J80" s="33">
        <v>2999</v>
      </c>
      <c r="K80" s="36">
        <f t="shared" si="30"/>
        <v>0.44981530510170048</v>
      </c>
      <c r="L80" s="54">
        <v>2599</v>
      </c>
      <c r="M80" s="36">
        <f t="shared" si="31"/>
        <v>0.36513893805309733</v>
      </c>
      <c r="N80" s="38">
        <v>1486.5</v>
      </c>
      <c r="O80" s="58">
        <f t="shared" si="17"/>
        <v>1650.0150000000001</v>
      </c>
      <c r="P80" s="129">
        <v>2999</v>
      </c>
      <c r="Q80" s="65">
        <f t="shared" si="23"/>
        <v>0.44981160386795593</v>
      </c>
      <c r="R80" s="147">
        <v>3650</v>
      </c>
      <c r="S80" s="97">
        <f t="shared" si="24"/>
        <v>0.54794109589041096</v>
      </c>
      <c r="T80" s="135">
        <v>2800</v>
      </c>
      <c r="U80" s="52">
        <f t="shared" si="18"/>
        <v>0.41070892857142849</v>
      </c>
      <c r="V80" s="82">
        <v>3300</v>
      </c>
      <c r="W80" s="52">
        <f t="shared" si="25"/>
        <v>0.49999545454545458</v>
      </c>
      <c r="X80" s="82">
        <v>4100</v>
      </c>
      <c r="Y80" s="52">
        <f t="shared" si="26"/>
        <v>0.59755731707317072</v>
      </c>
      <c r="Z80" s="82">
        <v>5500</v>
      </c>
      <c r="AA80" s="52">
        <f t="shared" si="27"/>
        <v>0.69999727272727275</v>
      </c>
      <c r="AB80" s="111">
        <f t="shared" si="15"/>
        <v>3299</v>
      </c>
    </row>
    <row r="81" spans="1:28" ht="24.75" customHeight="1" x14ac:dyDescent="0.25">
      <c r="A81" s="40" t="s">
        <v>651</v>
      </c>
      <c r="B81" s="75" t="s">
        <v>707</v>
      </c>
      <c r="C81" s="42">
        <v>8994985000006</v>
      </c>
      <c r="D81" s="37">
        <v>4504.5</v>
      </c>
      <c r="E81" s="37">
        <f t="shared" si="16"/>
        <v>4999.9949999999999</v>
      </c>
      <c r="F81" s="35">
        <v>8500</v>
      </c>
      <c r="G81" s="36">
        <f t="shared" si="28"/>
        <v>0.41176529411764701</v>
      </c>
      <c r="H81" s="37">
        <v>16900</v>
      </c>
      <c r="I81" s="36">
        <f t="shared" ref="I81:I87" si="32">(H81/1.11-D81)/H81*1.11</f>
        <v>0.70414230769230768</v>
      </c>
      <c r="J81" s="37">
        <v>6300</v>
      </c>
      <c r="K81" s="36">
        <f t="shared" si="30"/>
        <v>0.20634999999999989</v>
      </c>
      <c r="L81" s="54">
        <v>7700</v>
      </c>
      <c r="M81" s="36">
        <f t="shared" si="31"/>
        <v>0.35064999999999991</v>
      </c>
      <c r="N81" s="38">
        <v>4504.5</v>
      </c>
      <c r="O81" s="58">
        <f t="shared" si="17"/>
        <v>4999.9949999999999</v>
      </c>
      <c r="P81" s="86">
        <v>7500</v>
      </c>
      <c r="Q81" s="65">
        <f t="shared" si="23"/>
        <v>0.33333399999999991</v>
      </c>
      <c r="R81" s="125">
        <v>7750</v>
      </c>
      <c r="S81" s="97">
        <f t="shared" si="24"/>
        <v>0.35483935483870965</v>
      </c>
      <c r="T81" s="135">
        <v>8500</v>
      </c>
      <c r="U81" s="52">
        <f t="shared" si="18"/>
        <v>0.41176529411764701</v>
      </c>
      <c r="V81" s="82">
        <v>10000</v>
      </c>
      <c r="W81" s="52">
        <f t="shared" si="25"/>
        <v>0.50000050000000007</v>
      </c>
      <c r="X81" s="82">
        <v>12400</v>
      </c>
      <c r="Y81" s="52">
        <f t="shared" si="26"/>
        <v>0.59677459677419364</v>
      </c>
      <c r="Z81" s="82">
        <v>16500</v>
      </c>
      <c r="AA81" s="52">
        <f t="shared" si="27"/>
        <v>0.69696999999999998</v>
      </c>
      <c r="AB81" s="111">
        <f t="shared" si="15"/>
        <v>6600</v>
      </c>
    </row>
    <row r="82" spans="1:28" ht="33" customHeight="1" x14ac:dyDescent="0.25">
      <c r="A82" s="40" t="s">
        <v>652</v>
      </c>
      <c r="B82" s="75" t="s">
        <v>708</v>
      </c>
      <c r="C82" s="42">
        <v>8994985000297</v>
      </c>
      <c r="D82" s="37">
        <v>6532.43</v>
      </c>
      <c r="E82" s="37">
        <f t="shared" si="16"/>
        <v>7250.9973</v>
      </c>
      <c r="F82" s="35">
        <v>12300</v>
      </c>
      <c r="G82" s="36">
        <f t="shared" si="28"/>
        <v>0.41048802439024379</v>
      </c>
      <c r="H82" s="37">
        <v>24500</v>
      </c>
      <c r="I82" s="36">
        <f t="shared" si="32"/>
        <v>0.70404092653061223</v>
      </c>
      <c r="J82" s="33">
        <v>10450</v>
      </c>
      <c r="K82" s="36">
        <f t="shared" si="30"/>
        <v>0.3061246602870813</v>
      </c>
      <c r="L82" s="54">
        <v>11200</v>
      </c>
      <c r="M82" s="36">
        <f t="shared" si="31"/>
        <v>0.3525895267857142</v>
      </c>
      <c r="N82" s="38">
        <v>6944.14</v>
      </c>
      <c r="O82" s="58">
        <f t="shared" si="17"/>
        <v>7707.9954000000007</v>
      </c>
      <c r="P82" s="129">
        <v>10450</v>
      </c>
      <c r="Q82" s="65">
        <f t="shared" si="23"/>
        <v>0.26239278468899513</v>
      </c>
      <c r="R82" s="125">
        <v>11800</v>
      </c>
      <c r="S82" s="97">
        <f t="shared" si="24"/>
        <v>0.34678005084745767</v>
      </c>
      <c r="T82" s="135">
        <v>13000</v>
      </c>
      <c r="U82" s="52">
        <f t="shared" si="18"/>
        <v>0.40707727692307683</v>
      </c>
      <c r="V82" s="82">
        <v>15400</v>
      </c>
      <c r="W82" s="52">
        <f t="shared" si="25"/>
        <v>0.49948081818181805</v>
      </c>
      <c r="X82" s="82">
        <v>19200</v>
      </c>
      <c r="Y82" s="52">
        <f t="shared" si="26"/>
        <v>0.59854190625000003</v>
      </c>
      <c r="Z82" s="82">
        <v>26000</v>
      </c>
      <c r="AA82" s="52">
        <f t="shared" si="27"/>
        <v>0.70353863846153841</v>
      </c>
      <c r="AB82" s="111">
        <f t="shared" si="15"/>
        <v>10750</v>
      </c>
    </row>
    <row r="83" spans="1:28" ht="38.25" customHeight="1" x14ac:dyDescent="0.25">
      <c r="A83" s="40" t="s">
        <v>653</v>
      </c>
      <c r="B83" s="75" t="s">
        <v>133</v>
      </c>
      <c r="C83" s="42" t="s">
        <v>709</v>
      </c>
      <c r="D83" s="37">
        <v>6396</v>
      </c>
      <c r="E83" s="37">
        <f t="shared" si="16"/>
        <v>7099.56</v>
      </c>
      <c r="F83" s="35">
        <v>12100</v>
      </c>
      <c r="G83" s="36">
        <f t="shared" si="28"/>
        <v>0.41325950413223139</v>
      </c>
      <c r="H83" s="37">
        <v>24000</v>
      </c>
      <c r="I83" s="36">
        <f t="shared" si="32"/>
        <v>0.70418499999999995</v>
      </c>
      <c r="J83" s="37">
        <v>9500</v>
      </c>
      <c r="K83" s="36">
        <f t="shared" si="30"/>
        <v>0.25267789473684205</v>
      </c>
      <c r="L83" s="54">
        <v>11000</v>
      </c>
      <c r="M83" s="36">
        <f t="shared" si="31"/>
        <v>0.35458545454545454</v>
      </c>
      <c r="N83" s="38">
        <v>6396.4</v>
      </c>
      <c r="O83" s="58">
        <f t="shared" si="17"/>
        <v>7100.0039999999999</v>
      </c>
      <c r="P83" s="86">
        <v>9500</v>
      </c>
      <c r="Q83" s="65">
        <f t="shared" si="23"/>
        <v>0.25263115789473684</v>
      </c>
      <c r="R83" s="147">
        <v>11000</v>
      </c>
      <c r="S83" s="97">
        <f t="shared" si="24"/>
        <v>0.35454509090909092</v>
      </c>
      <c r="T83" s="135">
        <v>12100</v>
      </c>
      <c r="U83" s="52">
        <f t="shared" si="18"/>
        <v>0.41322280991735538</v>
      </c>
      <c r="V83" s="82">
        <v>14200</v>
      </c>
      <c r="W83" s="52">
        <f t="shared" si="25"/>
        <v>0.49999971830985918</v>
      </c>
      <c r="X83" s="82">
        <v>17600</v>
      </c>
      <c r="Y83" s="52">
        <f t="shared" si="26"/>
        <v>0.59659068181818187</v>
      </c>
      <c r="Z83" s="82">
        <v>24000</v>
      </c>
      <c r="AA83" s="52">
        <f t="shared" si="27"/>
        <v>0.70416650000000003</v>
      </c>
      <c r="AB83" s="111">
        <f t="shared" si="15"/>
        <v>9800</v>
      </c>
    </row>
    <row r="84" spans="1:28" ht="24" customHeight="1" x14ac:dyDescent="0.25">
      <c r="A84" s="40" t="s">
        <v>550</v>
      </c>
      <c r="B84" s="75" t="s">
        <v>134</v>
      </c>
      <c r="C84" s="42">
        <v>8990044000017</v>
      </c>
      <c r="D84" s="37">
        <v>6396</v>
      </c>
      <c r="E84" s="37">
        <f t="shared" si="16"/>
        <v>7099.56</v>
      </c>
      <c r="F84" s="35">
        <v>12100</v>
      </c>
      <c r="G84" s="36">
        <f t="shared" si="28"/>
        <v>0.41325950413223139</v>
      </c>
      <c r="H84" s="37">
        <v>24000</v>
      </c>
      <c r="I84" s="36">
        <f t="shared" si="32"/>
        <v>0.70418499999999995</v>
      </c>
      <c r="J84" s="37">
        <v>9500</v>
      </c>
      <c r="K84" s="36">
        <f t="shared" si="30"/>
        <v>0.25267789473684205</v>
      </c>
      <c r="L84" s="54">
        <v>11000</v>
      </c>
      <c r="M84" s="36">
        <f t="shared" si="31"/>
        <v>0.35458545454545454</v>
      </c>
      <c r="N84" s="38">
        <v>6396.4</v>
      </c>
      <c r="O84" s="58">
        <f t="shared" si="17"/>
        <v>7100.0039999999999</v>
      </c>
      <c r="P84" s="86">
        <v>9500</v>
      </c>
      <c r="Q84" s="65">
        <f t="shared" si="23"/>
        <v>0.25263115789473684</v>
      </c>
      <c r="R84" s="147">
        <v>11000</v>
      </c>
      <c r="S84" s="97">
        <f t="shared" si="24"/>
        <v>0.35454509090909092</v>
      </c>
      <c r="T84" s="136">
        <v>12100</v>
      </c>
      <c r="U84" s="52">
        <f t="shared" si="18"/>
        <v>0.41322280991735538</v>
      </c>
      <c r="V84" s="82">
        <v>14200</v>
      </c>
      <c r="W84" s="52">
        <f t="shared" si="25"/>
        <v>0.49999971830985918</v>
      </c>
      <c r="X84" s="82">
        <v>17600</v>
      </c>
      <c r="Y84" s="52">
        <f t="shared" si="26"/>
        <v>0.59659068181818187</v>
      </c>
      <c r="Z84" s="82">
        <v>24000</v>
      </c>
      <c r="AA84" s="52">
        <f t="shared" si="27"/>
        <v>0.70416650000000003</v>
      </c>
      <c r="AB84" s="111">
        <f t="shared" si="15"/>
        <v>9800</v>
      </c>
    </row>
    <row r="85" spans="1:28" ht="34.5" customHeight="1" x14ac:dyDescent="0.25">
      <c r="A85" s="40" t="s">
        <v>551</v>
      </c>
      <c r="B85" s="75" t="s">
        <v>136</v>
      </c>
      <c r="C85" s="42">
        <v>8851019210292.8906</v>
      </c>
      <c r="D85" s="37">
        <v>5954</v>
      </c>
      <c r="E85" s="37">
        <f t="shared" si="16"/>
        <v>6608.9400000000005</v>
      </c>
      <c r="F85" s="35">
        <v>11200</v>
      </c>
      <c r="G85" s="36">
        <f t="shared" si="28"/>
        <v>0.40991607142857134</v>
      </c>
      <c r="H85" s="37">
        <v>22400</v>
      </c>
      <c r="I85" s="36">
        <f t="shared" si="32"/>
        <v>0.70495803571428561</v>
      </c>
      <c r="J85" s="37">
        <v>9500</v>
      </c>
      <c r="K85" s="36">
        <f t="shared" si="30"/>
        <v>0.30432210526315784</v>
      </c>
      <c r="L85" s="54">
        <v>10200</v>
      </c>
      <c r="M85" s="36">
        <f t="shared" si="31"/>
        <v>0.35206470588235284</v>
      </c>
      <c r="N85" s="38">
        <v>6396.4</v>
      </c>
      <c r="O85" s="58">
        <f t="shared" si="17"/>
        <v>7100.0039999999999</v>
      </c>
      <c r="P85" s="86">
        <v>9500</v>
      </c>
      <c r="Q85" s="65">
        <f t="shared" ref="Q85:Q89" si="33">(P85/1.11-N85)/P85*1.11</f>
        <v>0.25263115789473684</v>
      </c>
      <c r="R85" s="147">
        <v>11000</v>
      </c>
      <c r="S85" s="97">
        <f t="shared" ref="S85:S124" si="34">(R85/1.11-N85)/R85*1.11</f>
        <v>0.35454509090909092</v>
      </c>
      <c r="T85" s="135">
        <v>12100</v>
      </c>
      <c r="U85" s="52">
        <f t="shared" si="18"/>
        <v>0.41322280991735538</v>
      </c>
      <c r="V85" s="82">
        <v>14200</v>
      </c>
      <c r="W85" s="52">
        <f t="shared" si="25"/>
        <v>0.49999971830985918</v>
      </c>
      <c r="X85" s="82">
        <v>17600</v>
      </c>
      <c r="Y85" s="52">
        <f t="shared" si="26"/>
        <v>0.59659068181818187</v>
      </c>
      <c r="Z85" s="82">
        <v>24000</v>
      </c>
      <c r="AA85" s="52">
        <f t="shared" si="27"/>
        <v>0.70416650000000003</v>
      </c>
      <c r="AB85" s="111">
        <f t="shared" si="15"/>
        <v>9800</v>
      </c>
    </row>
    <row r="86" spans="1:28" ht="30.75" customHeight="1" x14ac:dyDescent="0.25">
      <c r="A86" s="40" t="s">
        <v>552</v>
      </c>
      <c r="B86" s="75" t="s">
        <v>48</v>
      </c>
      <c r="C86" s="42">
        <v>8886057883665</v>
      </c>
      <c r="D86" s="37">
        <v>4600</v>
      </c>
      <c r="E86" s="37">
        <f t="shared" si="16"/>
        <v>5106</v>
      </c>
      <c r="F86" s="35">
        <v>8700</v>
      </c>
      <c r="G86" s="36">
        <f t="shared" si="28"/>
        <v>0.41310344827586204</v>
      </c>
      <c r="H86" s="37">
        <v>17300</v>
      </c>
      <c r="I86" s="36">
        <f t="shared" si="32"/>
        <v>0.70485549132947978</v>
      </c>
      <c r="J86" s="33">
        <v>7100</v>
      </c>
      <c r="K86" s="36">
        <f t="shared" si="30"/>
        <v>0.28084507042253515</v>
      </c>
      <c r="L86" s="54">
        <v>7900</v>
      </c>
      <c r="M86" s="36">
        <f t="shared" si="31"/>
        <v>0.35367088607594932</v>
      </c>
      <c r="N86" s="38">
        <v>4958.1899999999996</v>
      </c>
      <c r="O86" s="58">
        <f t="shared" si="17"/>
        <v>5503.5908999999992</v>
      </c>
      <c r="P86" s="129">
        <v>7100</v>
      </c>
      <c r="Q86" s="65">
        <f t="shared" si="33"/>
        <v>0.22484635211267609</v>
      </c>
      <c r="R86" s="147">
        <v>8500</v>
      </c>
      <c r="S86" s="97">
        <f t="shared" si="34"/>
        <v>0.35251871764705883</v>
      </c>
      <c r="T86" s="135">
        <v>9300</v>
      </c>
      <c r="U86" s="52">
        <f t="shared" si="18"/>
        <v>0.40821603225806458</v>
      </c>
      <c r="V86" s="82">
        <v>11000</v>
      </c>
      <c r="W86" s="52">
        <f t="shared" si="25"/>
        <v>0.49967355454545459</v>
      </c>
      <c r="X86" s="82">
        <v>13800</v>
      </c>
      <c r="Y86" s="52">
        <f t="shared" si="26"/>
        <v>0.60118906521739135</v>
      </c>
      <c r="Z86" s="82">
        <v>18400</v>
      </c>
      <c r="AA86" s="52">
        <f t="shared" si="27"/>
        <v>0.70089179891304354</v>
      </c>
      <c r="AB86" s="111">
        <f t="shared" si="15"/>
        <v>7400</v>
      </c>
    </row>
    <row r="87" spans="1:28" ht="28.5" customHeight="1" x14ac:dyDescent="0.25">
      <c r="A87" s="40" t="s">
        <v>654</v>
      </c>
      <c r="B87" s="41" t="s">
        <v>710</v>
      </c>
      <c r="C87" s="53">
        <v>8997035601017</v>
      </c>
      <c r="D87" s="37">
        <v>5067.55</v>
      </c>
      <c r="E87" s="37">
        <f t="shared" si="16"/>
        <v>5624.9805000000006</v>
      </c>
      <c r="F87" s="35">
        <v>9600</v>
      </c>
      <c r="G87" s="36">
        <f t="shared" si="28"/>
        <v>0.41406453124999998</v>
      </c>
      <c r="H87" s="37">
        <v>19000</v>
      </c>
      <c r="I87" s="36">
        <f t="shared" si="32"/>
        <v>0.70394839473684212</v>
      </c>
      <c r="J87" s="37">
        <v>8700</v>
      </c>
      <c r="K87" s="36">
        <f t="shared" si="30"/>
        <v>0.35345051724137927</v>
      </c>
      <c r="L87" s="54">
        <v>9000</v>
      </c>
      <c r="M87" s="36">
        <f t="shared" si="31"/>
        <v>0.37500216666666658</v>
      </c>
      <c r="N87" s="38">
        <v>4565.76</v>
      </c>
      <c r="O87" s="58">
        <f t="shared" si="17"/>
        <v>5067.9935999999998</v>
      </c>
      <c r="P87" s="125">
        <v>7000</v>
      </c>
      <c r="Q87" s="65">
        <f t="shared" si="33"/>
        <v>0.27600091428571416</v>
      </c>
      <c r="R87" s="125">
        <v>7800</v>
      </c>
      <c r="S87" s="97">
        <f t="shared" si="34"/>
        <v>0.35025723076923071</v>
      </c>
      <c r="T87" s="119">
        <v>8600</v>
      </c>
      <c r="U87" s="52">
        <f t="shared" si="18"/>
        <v>0.41069841860465106</v>
      </c>
      <c r="V87" s="82">
        <v>10200</v>
      </c>
      <c r="W87" s="52">
        <f t="shared" si="25"/>
        <v>0.5031378823529411</v>
      </c>
      <c r="X87" s="82">
        <v>12800</v>
      </c>
      <c r="Y87" s="52">
        <f t="shared" si="26"/>
        <v>0.60406300000000002</v>
      </c>
      <c r="Z87" s="82">
        <v>17000</v>
      </c>
      <c r="AA87" s="52">
        <f t="shared" si="27"/>
        <v>0.70188272941176477</v>
      </c>
      <c r="AB87" s="111">
        <f t="shared" si="15"/>
        <v>9000</v>
      </c>
    </row>
    <row r="88" spans="1:28" ht="29.25" customHeight="1" x14ac:dyDescent="0.25">
      <c r="A88" s="40" t="s">
        <v>553</v>
      </c>
      <c r="B88" s="43" t="s">
        <v>711</v>
      </c>
      <c r="C88" s="42">
        <v>8997035111110</v>
      </c>
      <c r="D88" s="37">
        <v>4550</v>
      </c>
      <c r="E88" s="37">
        <f t="shared" si="16"/>
        <v>5050.5</v>
      </c>
      <c r="F88" s="35">
        <v>8600</v>
      </c>
      <c r="G88" s="36">
        <f t="shared" si="28"/>
        <v>0.4127325581395348</v>
      </c>
      <c r="H88" s="37">
        <v>17100</v>
      </c>
      <c r="I88" s="36">
        <f t="shared" ref="I88:I111" si="35">(H88/1.11-D88)/H88*1.11</f>
        <v>0.70464912280701753</v>
      </c>
      <c r="J88" s="37">
        <v>8200</v>
      </c>
      <c r="K88" s="36">
        <f t="shared" si="30"/>
        <v>0.38408536585365843</v>
      </c>
      <c r="L88" s="54">
        <v>7800</v>
      </c>
      <c r="M88" s="36">
        <f t="shared" si="31"/>
        <v>0.35249999999999998</v>
      </c>
      <c r="N88" s="38">
        <v>4099</v>
      </c>
      <c r="O88" s="58">
        <f t="shared" si="17"/>
        <v>4549.8900000000003</v>
      </c>
      <c r="P88" s="86">
        <v>8200</v>
      </c>
      <c r="Q88" s="65">
        <f t="shared" si="33"/>
        <v>0.44513536585365843</v>
      </c>
      <c r="R88" s="125">
        <v>7000</v>
      </c>
      <c r="S88" s="97">
        <f t="shared" si="34"/>
        <v>0.35001571428571421</v>
      </c>
      <c r="T88" s="135">
        <v>8600</v>
      </c>
      <c r="U88" s="52">
        <f t="shared" si="18"/>
        <v>0.47094302325581389</v>
      </c>
      <c r="V88" s="82">
        <v>9100</v>
      </c>
      <c r="W88" s="52">
        <f t="shared" si="25"/>
        <v>0.50001208791208784</v>
      </c>
      <c r="X88" s="82">
        <v>11500</v>
      </c>
      <c r="Y88" s="52">
        <f t="shared" si="26"/>
        <v>0.60435739130434774</v>
      </c>
      <c r="Z88" s="82">
        <v>15400</v>
      </c>
      <c r="AA88" s="52">
        <f t="shared" si="27"/>
        <v>0.70455259740259735</v>
      </c>
      <c r="AB88" s="111">
        <f t="shared" si="15"/>
        <v>8500</v>
      </c>
    </row>
    <row r="89" spans="1:28" ht="24" customHeight="1" x14ac:dyDescent="0.25">
      <c r="A89" s="40" t="s">
        <v>554</v>
      </c>
      <c r="B89" s="43" t="s">
        <v>61</v>
      </c>
      <c r="C89" s="42">
        <v>8997035563414</v>
      </c>
      <c r="D89" s="33">
        <v>6081.08</v>
      </c>
      <c r="E89" s="37">
        <f t="shared" si="16"/>
        <v>6749.9988000000003</v>
      </c>
      <c r="F89" s="35">
        <v>11500</v>
      </c>
      <c r="G89" s="36">
        <f t="shared" si="28"/>
        <v>0.41304358260869556</v>
      </c>
      <c r="H89" s="37">
        <v>22800</v>
      </c>
      <c r="I89" s="36">
        <f t="shared" si="35"/>
        <v>0.70394742105263164</v>
      </c>
      <c r="J89" s="37">
        <v>8500</v>
      </c>
      <c r="K89" s="36">
        <f t="shared" si="30"/>
        <v>0.20588249411764703</v>
      </c>
      <c r="L89" s="54">
        <v>10400</v>
      </c>
      <c r="M89" s="36">
        <f t="shared" si="31"/>
        <v>0.35096165384615391</v>
      </c>
      <c r="N89" s="38">
        <v>5478.37</v>
      </c>
      <c r="O89" s="58">
        <f t="shared" si="17"/>
        <v>6080.9907000000003</v>
      </c>
      <c r="P89" s="86">
        <v>8500</v>
      </c>
      <c r="Q89" s="65">
        <f t="shared" si="33"/>
        <v>0.28458932941176468</v>
      </c>
      <c r="R89" s="144">
        <v>10599</v>
      </c>
      <c r="S89" s="97">
        <f t="shared" si="34"/>
        <v>0.42626750636852534</v>
      </c>
      <c r="T89" s="136">
        <v>11500</v>
      </c>
      <c r="U89" s="52">
        <f t="shared" si="18"/>
        <v>0.47121819999999992</v>
      </c>
      <c r="V89" s="82">
        <v>12200</v>
      </c>
      <c r="W89" s="52">
        <f t="shared" si="25"/>
        <v>0.50155813934426219</v>
      </c>
      <c r="X89" s="82">
        <v>15300</v>
      </c>
      <c r="Y89" s="52">
        <f t="shared" si="26"/>
        <v>0.60254962745098051</v>
      </c>
      <c r="Z89" s="82">
        <v>20000</v>
      </c>
      <c r="AA89" s="52">
        <f t="shared" si="27"/>
        <v>0.69595046500000013</v>
      </c>
      <c r="AB89" s="111">
        <f t="shared" ref="AB89:AB134" si="36">J89+300</f>
        <v>8800</v>
      </c>
    </row>
    <row r="90" spans="1:28" ht="32.25" customHeight="1" x14ac:dyDescent="0.25">
      <c r="A90" s="40" t="s">
        <v>555</v>
      </c>
      <c r="B90" s="43" t="s">
        <v>219</v>
      </c>
      <c r="C90" s="47">
        <v>8997035601383</v>
      </c>
      <c r="D90" s="37">
        <v>6081.08</v>
      </c>
      <c r="E90" s="37">
        <f t="shared" si="16"/>
        <v>6749.9988000000003</v>
      </c>
      <c r="F90" s="35">
        <v>11500</v>
      </c>
      <c r="G90" s="36">
        <f t="shared" si="28"/>
        <v>0.41304358260869556</v>
      </c>
      <c r="H90" s="37">
        <v>22800</v>
      </c>
      <c r="I90" s="36">
        <f t="shared" si="35"/>
        <v>0.70394742105263164</v>
      </c>
      <c r="J90" s="37">
        <v>8700</v>
      </c>
      <c r="K90" s="36">
        <f t="shared" si="30"/>
        <v>0.22413806896551722</v>
      </c>
      <c r="L90" s="54">
        <v>10400</v>
      </c>
      <c r="M90" s="36">
        <f t="shared" si="31"/>
        <v>0.35096165384615391</v>
      </c>
      <c r="N90" s="38">
        <v>5478</v>
      </c>
      <c r="O90" s="58">
        <f t="shared" si="17"/>
        <v>6080.58</v>
      </c>
      <c r="P90" s="86">
        <v>8700</v>
      </c>
      <c r="Q90" s="65">
        <f>(P90/1.11-N90)/P90*1.11</f>
        <v>0.30108275862068962</v>
      </c>
      <c r="R90" s="144">
        <v>10599</v>
      </c>
      <c r="S90" s="97">
        <f t="shared" si="34"/>
        <v>0.42630625530710448</v>
      </c>
      <c r="T90" s="136">
        <v>11500</v>
      </c>
      <c r="U90" s="52">
        <f t="shared" si="18"/>
        <v>0.47125391304347813</v>
      </c>
      <c r="V90" s="82">
        <v>12200</v>
      </c>
      <c r="W90" s="52">
        <f t="shared" si="25"/>
        <v>0.50159180327868835</v>
      </c>
      <c r="X90" s="82">
        <v>15200</v>
      </c>
      <c r="Y90" s="52">
        <f t="shared" si="26"/>
        <v>0.59996184210526315</v>
      </c>
      <c r="Z90" s="82">
        <v>20000</v>
      </c>
      <c r="AA90" s="52">
        <f t="shared" si="27"/>
        <v>0.69597100000000001</v>
      </c>
      <c r="AB90" s="113">
        <f>P90+300</f>
        <v>9000</v>
      </c>
    </row>
    <row r="91" spans="1:28" ht="26.25" customHeight="1" x14ac:dyDescent="0.25">
      <c r="A91" s="40" t="s">
        <v>556</v>
      </c>
      <c r="B91" s="43" t="s">
        <v>57</v>
      </c>
      <c r="C91" s="42">
        <v>8997035601222</v>
      </c>
      <c r="D91" s="59">
        <v>4918.8999999999996</v>
      </c>
      <c r="E91" s="60">
        <f t="shared" si="16"/>
        <v>5459.9789999999994</v>
      </c>
      <c r="F91" s="61">
        <v>9300</v>
      </c>
      <c r="G91" s="62">
        <f t="shared" si="28"/>
        <v>0.41290548387096782</v>
      </c>
      <c r="H91" s="60">
        <v>18500</v>
      </c>
      <c r="I91" s="62">
        <f t="shared" si="35"/>
        <v>0.70486599999999999</v>
      </c>
      <c r="J91" s="60">
        <v>7500</v>
      </c>
      <c r="K91" s="62">
        <f t="shared" si="30"/>
        <v>0.27200279999999993</v>
      </c>
      <c r="L91" s="63">
        <v>8400</v>
      </c>
      <c r="M91" s="62">
        <f t="shared" si="31"/>
        <v>0.35000249999999999</v>
      </c>
      <c r="N91" s="38">
        <v>4431.5309999999999</v>
      </c>
      <c r="O91" s="68">
        <f t="shared" si="17"/>
        <v>4918.9994100000004</v>
      </c>
      <c r="P91" s="86">
        <v>7700</v>
      </c>
      <c r="Q91" s="65">
        <f>(P91/1.11-N91)/P91*1.11</f>
        <v>0.36116890779220767</v>
      </c>
      <c r="R91" s="144">
        <v>8903</v>
      </c>
      <c r="S91" s="97">
        <f t="shared" si="34"/>
        <v>0.44748967651353472</v>
      </c>
      <c r="T91" s="136">
        <v>9300</v>
      </c>
      <c r="U91" s="52">
        <f t="shared" si="18"/>
        <v>0.47107533225806453</v>
      </c>
      <c r="V91" s="82">
        <v>9800</v>
      </c>
      <c r="W91" s="52">
        <f t="shared" si="25"/>
        <v>0.49806128469387745</v>
      </c>
      <c r="X91" s="82">
        <v>12400</v>
      </c>
      <c r="Y91" s="52">
        <f t="shared" si="26"/>
        <v>0.6033064991935484</v>
      </c>
      <c r="Z91" s="82">
        <v>16500</v>
      </c>
      <c r="AA91" s="52">
        <f t="shared" si="27"/>
        <v>0.70187882363636367</v>
      </c>
      <c r="AB91" s="113">
        <f>P91+300</f>
        <v>8000</v>
      </c>
    </row>
    <row r="92" spans="1:28" ht="33" customHeight="1" x14ac:dyDescent="0.25">
      <c r="A92" s="40" t="s">
        <v>655</v>
      </c>
      <c r="B92" s="75" t="s">
        <v>694</v>
      </c>
      <c r="C92" s="42">
        <v>7622300136055</v>
      </c>
      <c r="D92" s="37">
        <v>6533</v>
      </c>
      <c r="E92" s="37">
        <f t="shared" ref="E92:E120" si="37">(D92*11%)+D92</f>
        <v>7251.63</v>
      </c>
      <c r="F92" s="35">
        <v>12300</v>
      </c>
      <c r="G92" s="36">
        <f t="shared" ref="G92:G120" si="38">(F92/1.11-D92)/F92*1.11</f>
        <v>0.41043658536585359</v>
      </c>
      <c r="H92" s="37">
        <v>24500</v>
      </c>
      <c r="I92" s="36">
        <f t="shared" si="35"/>
        <v>0.7040151020408163</v>
      </c>
      <c r="J92" s="35">
        <v>9700</v>
      </c>
      <c r="K92" s="36">
        <f t="shared" ref="K92:K120" si="39">(J92/1.11-D92)/J92*1.11</f>
        <v>0.2524092783505153</v>
      </c>
      <c r="L92" s="54">
        <v>11200</v>
      </c>
      <c r="M92" s="36">
        <f t="shared" ref="M92:M120" si="40">(L92/1.11-D92)/L92*1.11</f>
        <v>0.35253303571428563</v>
      </c>
      <c r="N92" s="38">
        <v>6860.36</v>
      </c>
      <c r="O92" s="58">
        <f t="shared" ref="O92:O118" si="41">(N92*11%)+N92</f>
        <v>7614.9995999999992</v>
      </c>
      <c r="P92" s="86">
        <v>9500</v>
      </c>
      <c r="Q92" s="65">
        <f>(P92/1.11-N92)/P92*1.11</f>
        <v>0.19842109473684208</v>
      </c>
      <c r="R92" s="144">
        <v>12199</v>
      </c>
      <c r="S92" s="97">
        <f t="shared" si="34"/>
        <v>0.37576853840478724</v>
      </c>
      <c r="T92" s="136">
        <v>12931</v>
      </c>
      <c r="U92" s="52">
        <f t="shared" si="18"/>
        <v>0.41110512721367254</v>
      </c>
      <c r="V92" s="82">
        <v>15300</v>
      </c>
      <c r="W92" s="52">
        <f t="shared" si="25"/>
        <v>0.50228760784313731</v>
      </c>
      <c r="X92" s="82">
        <v>19000</v>
      </c>
      <c r="Y92" s="52">
        <f t="shared" si="26"/>
        <v>0.59921054736842105</v>
      </c>
      <c r="Z92" s="82">
        <v>25500</v>
      </c>
      <c r="AA92" s="52">
        <f t="shared" si="27"/>
        <v>0.70137256470588227</v>
      </c>
      <c r="AB92" s="113">
        <f>P92+300</f>
        <v>9800</v>
      </c>
    </row>
    <row r="93" spans="1:28" ht="27" customHeight="1" x14ac:dyDescent="0.25">
      <c r="A93" s="40" t="s">
        <v>557</v>
      </c>
      <c r="B93" s="75" t="s">
        <v>189</v>
      </c>
      <c r="C93" s="42">
        <v>8886013304609</v>
      </c>
      <c r="D93" s="37">
        <v>1287</v>
      </c>
      <c r="E93" s="37">
        <f t="shared" si="37"/>
        <v>1428.57</v>
      </c>
      <c r="F93" s="35">
        <v>2500</v>
      </c>
      <c r="G93" s="36">
        <f t="shared" si="38"/>
        <v>0.42857200000000001</v>
      </c>
      <c r="H93" s="37">
        <v>4800</v>
      </c>
      <c r="I93" s="36">
        <f t="shared" si="35"/>
        <v>0.70238124999999996</v>
      </c>
      <c r="J93" s="37">
        <v>2999</v>
      </c>
      <c r="K93" s="36">
        <f t="shared" si="39"/>
        <v>0.5236512170723574</v>
      </c>
      <c r="L93" s="54">
        <v>2200</v>
      </c>
      <c r="M93" s="36">
        <f t="shared" si="40"/>
        <v>0.35064999999999996</v>
      </c>
      <c r="N93" s="38">
        <v>1430</v>
      </c>
      <c r="O93" s="58">
        <f t="shared" si="41"/>
        <v>1587.3</v>
      </c>
      <c r="P93" s="129">
        <v>3000</v>
      </c>
      <c r="Q93" s="65">
        <f>(P93/1.11-N93)/P93*1.11</f>
        <v>0.47089999999999999</v>
      </c>
      <c r="R93" s="144">
        <v>3000</v>
      </c>
      <c r="S93" s="97">
        <f t="shared" si="34"/>
        <v>0.47089999999999999</v>
      </c>
      <c r="T93" s="136">
        <v>3180</v>
      </c>
      <c r="U93" s="52">
        <f t="shared" si="18"/>
        <v>0.50084905660377355</v>
      </c>
      <c r="V93" s="82">
        <v>3180</v>
      </c>
      <c r="W93" s="52">
        <f t="shared" si="25"/>
        <v>0.50084905660377355</v>
      </c>
      <c r="X93" s="82">
        <v>4000</v>
      </c>
      <c r="Y93" s="52">
        <f t="shared" si="26"/>
        <v>0.60317500000000002</v>
      </c>
      <c r="Z93" s="82">
        <v>5300</v>
      </c>
      <c r="AA93" s="52">
        <f t="shared" si="27"/>
        <v>0.70050943396226417</v>
      </c>
      <c r="AB93" s="113">
        <f>P93+300</f>
        <v>3300</v>
      </c>
    </row>
    <row r="94" spans="1:28" ht="26.25" customHeight="1" x14ac:dyDescent="0.25">
      <c r="A94" s="40" t="s">
        <v>558</v>
      </c>
      <c r="B94" s="75" t="s">
        <v>197</v>
      </c>
      <c r="C94" s="42">
        <v>8886013338604</v>
      </c>
      <c r="D94" s="37">
        <v>1287</v>
      </c>
      <c r="E94" s="37">
        <f t="shared" si="37"/>
        <v>1428.57</v>
      </c>
      <c r="F94" s="35">
        <v>2500</v>
      </c>
      <c r="G94" s="36">
        <f t="shared" si="38"/>
        <v>0.42857200000000001</v>
      </c>
      <c r="H94" s="37">
        <v>4800</v>
      </c>
      <c r="I94" s="36">
        <f t="shared" si="35"/>
        <v>0.70238124999999996</v>
      </c>
      <c r="J94" s="37">
        <v>2999</v>
      </c>
      <c r="K94" s="36">
        <f t="shared" si="39"/>
        <v>0.5236512170723574</v>
      </c>
      <c r="L94" s="54">
        <v>2200</v>
      </c>
      <c r="M94" s="36">
        <f t="shared" si="40"/>
        <v>0.35064999999999996</v>
      </c>
      <c r="N94" s="38">
        <v>1430</v>
      </c>
      <c r="O94" s="58">
        <f t="shared" si="41"/>
        <v>1587.3</v>
      </c>
      <c r="P94" s="129">
        <v>3000</v>
      </c>
      <c r="Q94" s="65">
        <f>(P94/1.11-N94)/P94*1.11</f>
        <v>0.47089999999999999</v>
      </c>
      <c r="R94" s="144">
        <v>3000</v>
      </c>
      <c r="S94" s="97">
        <f t="shared" si="34"/>
        <v>0.47089999999999999</v>
      </c>
      <c r="T94" s="135">
        <v>3180</v>
      </c>
      <c r="U94" s="52">
        <f t="shared" si="18"/>
        <v>0.50084905660377355</v>
      </c>
      <c r="V94" s="82">
        <v>3180</v>
      </c>
      <c r="W94" s="52">
        <f t="shared" si="25"/>
        <v>0.50084905660377355</v>
      </c>
      <c r="X94" s="82">
        <v>4000</v>
      </c>
      <c r="Y94" s="52">
        <f t="shared" si="26"/>
        <v>0.60317500000000002</v>
      </c>
      <c r="Z94" s="82">
        <v>5300</v>
      </c>
      <c r="AA94" s="52">
        <f t="shared" si="27"/>
        <v>0.70050943396226417</v>
      </c>
      <c r="AB94" s="111">
        <f t="shared" si="36"/>
        <v>3299</v>
      </c>
    </row>
    <row r="95" spans="1:28" ht="28.5" customHeight="1" x14ac:dyDescent="0.25">
      <c r="A95" s="40" t="s">
        <v>559</v>
      </c>
      <c r="B95" s="43" t="s">
        <v>394</v>
      </c>
      <c r="C95" s="47">
        <v>8996001600849</v>
      </c>
      <c r="D95" s="37">
        <v>2702.7</v>
      </c>
      <c r="E95" s="37">
        <f t="shared" si="37"/>
        <v>2999.9969999999998</v>
      </c>
      <c r="F95" s="35">
        <v>5100</v>
      </c>
      <c r="G95" s="36">
        <f t="shared" si="38"/>
        <v>0.41176529411764701</v>
      </c>
      <c r="H95" s="37">
        <v>10100</v>
      </c>
      <c r="I95" s="36">
        <f t="shared" si="35"/>
        <v>0.70297059405940587</v>
      </c>
      <c r="J95" s="37">
        <v>4100</v>
      </c>
      <c r="K95" s="36">
        <f t="shared" si="39"/>
        <v>0.26829341463414624</v>
      </c>
      <c r="L95" s="54">
        <v>4600</v>
      </c>
      <c r="M95" s="36">
        <f t="shared" si="40"/>
        <v>0.34782673913043477</v>
      </c>
      <c r="N95" s="38">
        <v>2853.1529999999998</v>
      </c>
      <c r="O95" s="68">
        <f t="shared" si="41"/>
        <v>3166.9998299999997</v>
      </c>
      <c r="P95" s="86">
        <v>4700</v>
      </c>
      <c r="Q95" s="65">
        <f t="shared" ref="Q95:Q139" si="42">(P95/1.11-N95)/P95*1.11</f>
        <v>0.32617024893617014</v>
      </c>
      <c r="R95" s="144">
        <v>4900</v>
      </c>
      <c r="S95" s="97">
        <f t="shared" si="34"/>
        <v>0.35367350408163256</v>
      </c>
      <c r="T95" s="135">
        <v>5400</v>
      </c>
      <c r="U95" s="52">
        <f t="shared" si="18"/>
        <v>0.41351854999999993</v>
      </c>
      <c r="V95" s="103">
        <v>6300</v>
      </c>
      <c r="W95" s="52">
        <f t="shared" si="25"/>
        <v>0.49730161428571423</v>
      </c>
      <c r="X95" s="82">
        <v>7900</v>
      </c>
      <c r="Y95" s="52">
        <f t="shared" si="26"/>
        <v>0.59911394556962028</v>
      </c>
      <c r="Z95" s="82">
        <v>10500</v>
      </c>
      <c r="AA95" s="52">
        <f t="shared" si="27"/>
        <v>0.6983809685714284</v>
      </c>
      <c r="AB95" s="111">
        <f t="shared" si="36"/>
        <v>4400</v>
      </c>
    </row>
    <row r="96" spans="1:28" ht="26.25" customHeight="1" x14ac:dyDescent="0.25">
      <c r="A96" s="40" t="s">
        <v>656</v>
      </c>
      <c r="B96" s="43" t="s">
        <v>348</v>
      </c>
      <c r="C96" s="42">
        <v>8998866202732</v>
      </c>
      <c r="D96" s="33">
        <v>2554.0500000000002</v>
      </c>
      <c r="E96" s="37">
        <f t="shared" si="37"/>
        <v>2834.9955</v>
      </c>
      <c r="F96" s="35">
        <v>4800</v>
      </c>
      <c r="G96" s="36">
        <f t="shared" si="38"/>
        <v>0.40937593749999995</v>
      </c>
      <c r="H96" s="37">
        <v>9600</v>
      </c>
      <c r="I96" s="36">
        <f t="shared" si="35"/>
        <v>0.70468796875000006</v>
      </c>
      <c r="J96" s="37">
        <v>3700</v>
      </c>
      <c r="K96" s="36">
        <f t="shared" si="39"/>
        <v>0.23378499999999985</v>
      </c>
      <c r="L96" s="54">
        <v>4400</v>
      </c>
      <c r="M96" s="36">
        <f t="shared" si="40"/>
        <v>0.3556828409090908</v>
      </c>
      <c r="N96" s="38">
        <v>2554.0500000000002</v>
      </c>
      <c r="O96" s="58">
        <f t="shared" si="41"/>
        <v>2834.9955</v>
      </c>
      <c r="P96" s="86">
        <v>3800</v>
      </c>
      <c r="Q96" s="65">
        <f t="shared" si="42"/>
        <v>0.25394855263157884</v>
      </c>
      <c r="R96" s="144">
        <v>4557</v>
      </c>
      <c r="S96" s="97">
        <f t="shared" si="34"/>
        <v>0.37788117182356806</v>
      </c>
      <c r="T96" s="135">
        <v>4800</v>
      </c>
      <c r="U96" s="52">
        <f t="shared" si="18"/>
        <v>0.40937593749999995</v>
      </c>
      <c r="V96" s="82">
        <v>5700</v>
      </c>
      <c r="W96" s="52">
        <f t="shared" si="25"/>
        <v>0.50263236842105263</v>
      </c>
      <c r="X96" s="82">
        <v>7000</v>
      </c>
      <c r="Y96" s="52">
        <f t="shared" si="26"/>
        <v>0.59500064285714271</v>
      </c>
      <c r="Z96" s="82">
        <v>9500</v>
      </c>
      <c r="AA96" s="52">
        <f t="shared" si="27"/>
        <v>0.7015794210526316</v>
      </c>
      <c r="AB96" s="111">
        <f t="shared" si="36"/>
        <v>4000</v>
      </c>
    </row>
    <row r="97" spans="1:28" ht="27.75" customHeight="1" x14ac:dyDescent="0.25">
      <c r="A97" s="40" t="s">
        <v>560</v>
      </c>
      <c r="B97" s="43" t="s">
        <v>233</v>
      </c>
      <c r="C97" s="42">
        <v>8998866202725</v>
      </c>
      <c r="D97" s="33">
        <v>2554.0500000000002</v>
      </c>
      <c r="E97" s="37">
        <f t="shared" si="37"/>
        <v>2834.9955</v>
      </c>
      <c r="F97" s="35">
        <v>4800</v>
      </c>
      <c r="G97" s="36">
        <f t="shared" si="38"/>
        <v>0.40937593749999995</v>
      </c>
      <c r="H97" s="37">
        <v>9600</v>
      </c>
      <c r="I97" s="36">
        <f t="shared" si="35"/>
        <v>0.70468796875000006</v>
      </c>
      <c r="J97" s="37">
        <v>3700</v>
      </c>
      <c r="K97" s="36">
        <f t="shared" si="39"/>
        <v>0.23378499999999985</v>
      </c>
      <c r="L97" s="54">
        <v>4400</v>
      </c>
      <c r="M97" s="36">
        <f t="shared" si="40"/>
        <v>0.3556828409090908</v>
      </c>
      <c r="N97" s="38">
        <v>2554.0500000000002</v>
      </c>
      <c r="O97" s="58">
        <f t="shared" si="41"/>
        <v>2834.9955</v>
      </c>
      <c r="P97" s="86">
        <v>3800</v>
      </c>
      <c r="Q97" s="65">
        <f t="shared" si="42"/>
        <v>0.25394855263157884</v>
      </c>
      <c r="R97" s="144">
        <v>4557</v>
      </c>
      <c r="S97" s="97">
        <f t="shared" si="34"/>
        <v>0.37788117182356806</v>
      </c>
      <c r="T97" s="135">
        <v>4800</v>
      </c>
      <c r="U97" s="52">
        <f t="shared" si="18"/>
        <v>0.40937593749999995</v>
      </c>
      <c r="V97" s="82">
        <v>5700</v>
      </c>
      <c r="W97" s="52">
        <f t="shared" si="25"/>
        <v>0.50263236842105263</v>
      </c>
      <c r="X97" s="82">
        <v>7000</v>
      </c>
      <c r="Y97" s="52">
        <f t="shared" si="26"/>
        <v>0.59500064285714271</v>
      </c>
      <c r="Z97" s="82">
        <v>9500</v>
      </c>
      <c r="AA97" s="52">
        <f t="shared" si="27"/>
        <v>0.7015794210526316</v>
      </c>
      <c r="AB97" s="111">
        <f t="shared" si="36"/>
        <v>4000</v>
      </c>
    </row>
    <row r="98" spans="1:28" ht="30" customHeight="1" x14ac:dyDescent="0.25">
      <c r="A98" s="40" t="s">
        <v>561</v>
      </c>
      <c r="B98" s="43" t="s">
        <v>337</v>
      </c>
      <c r="C98" s="42">
        <v>8998866200837</v>
      </c>
      <c r="D98" s="33">
        <v>3751.89</v>
      </c>
      <c r="E98" s="37">
        <f t="shared" si="37"/>
        <v>4164.5978999999998</v>
      </c>
      <c r="F98" s="35">
        <v>7100</v>
      </c>
      <c r="G98" s="36">
        <f t="shared" si="38"/>
        <v>0.41343691549295775</v>
      </c>
      <c r="H98" s="37">
        <v>14100</v>
      </c>
      <c r="I98" s="36">
        <f t="shared" si="35"/>
        <v>0.70463844680851073</v>
      </c>
      <c r="J98" s="37">
        <v>5900</v>
      </c>
      <c r="K98" s="36">
        <f t="shared" si="39"/>
        <v>0.29413594915254238</v>
      </c>
      <c r="L98" s="54">
        <v>6400</v>
      </c>
      <c r="M98" s="36">
        <f t="shared" si="40"/>
        <v>0.34928157812499999</v>
      </c>
      <c r="N98" s="38">
        <v>3751.8910000000001</v>
      </c>
      <c r="O98" s="68">
        <f t="shared" si="41"/>
        <v>4164.5990099999999</v>
      </c>
      <c r="P98" s="86">
        <v>5900</v>
      </c>
      <c r="Q98" s="65">
        <f t="shared" si="42"/>
        <v>0.29413576101694916</v>
      </c>
      <c r="R98" s="144">
        <v>6995</v>
      </c>
      <c r="S98" s="97">
        <f t="shared" si="34"/>
        <v>0.40463202144388843</v>
      </c>
      <c r="T98" s="135">
        <v>7100</v>
      </c>
      <c r="U98" s="52">
        <f t="shared" si="18"/>
        <v>0.41343675915492956</v>
      </c>
      <c r="V98" s="82">
        <v>8400</v>
      </c>
      <c r="W98" s="52">
        <f t="shared" si="25"/>
        <v>0.50421440357142844</v>
      </c>
      <c r="X98" s="82">
        <v>10400</v>
      </c>
      <c r="Y98" s="52">
        <f t="shared" si="26"/>
        <v>0.59955778749999999</v>
      </c>
      <c r="Z98" s="82">
        <v>14000</v>
      </c>
      <c r="AA98" s="52">
        <f t="shared" si="27"/>
        <v>0.70252864214285704</v>
      </c>
      <c r="AB98" s="111">
        <f t="shared" si="36"/>
        <v>6200</v>
      </c>
    </row>
    <row r="99" spans="1:28" ht="34.5" customHeight="1" x14ac:dyDescent="0.25">
      <c r="A99" s="40" t="s">
        <v>562</v>
      </c>
      <c r="B99" s="43" t="s">
        <v>365</v>
      </c>
      <c r="C99" s="42">
        <v>8998866200844</v>
      </c>
      <c r="D99" s="33">
        <v>3751.87</v>
      </c>
      <c r="E99" s="37">
        <f t="shared" si="37"/>
        <v>4164.5756999999994</v>
      </c>
      <c r="F99" s="35">
        <v>7100</v>
      </c>
      <c r="G99" s="36">
        <f t="shared" si="38"/>
        <v>0.41344004225352116</v>
      </c>
      <c r="H99" s="37">
        <v>14100</v>
      </c>
      <c r="I99" s="36">
        <f t="shared" si="35"/>
        <v>0.70464002127659564</v>
      </c>
      <c r="J99" s="37">
        <v>5900</v>
      </c>
      <c r="K99" s="36">
        <f t="shared" si="39"/>
        <v>0.29413971186440685</v>
      </c>
      <c r="L99" s="54">
        <v>6400</v>
      </c>
      <c r="M99" s="36">
        <f t="shared" si="40"/>
        <v>0.349285046875</v>
      </c>
      <c r="N99" s="38">
        <v>3751.8910000000001</v>
      </c>
      <c r="O99" s="68">
        <f t="shared" si="41"/>
        <v>4164.5990099999999</v>
      </c>
      <c r="P99" s="86">
        <v>5900</v>
      </c>
      <c r="Q99" s="65">
        <f t="shared" si="42"/>
        <v>0.29413576101694916</v>
      </c>
      <c r="R99" s="144">
        <v>6499</v>
      </c>
      <c r="S99" s="97">
        <f t="shared" si="34"/>
        <v>0.35919387444222189</v>
      </c>
      <c r="T99" s="136">
        <v>7100</v>
      </c>
      <c r="U99" s="52">
        <f t="shared" si="18"/>
        <v>0.41343675915492956</v>
      </c>
      <c r="V99" s="82">
        <v>8400</v>
      </c>
      <c r="W99" s="52">
        <f t="shared" si="25"/>
        <v>0.50421440357142844</v>
      </c>
      <c r="X99" s="103">
        <v>10400</v>
      </c>
      <c r="Y99" s="52">
        <f t="shared" si="26"/>
        <v>0.59955778749999999</v>
      </c>
      <c r="Z99" s="82">
        <v>13800</v>
      </c>
      <c r="AA99" s="52">
        <f t="shared" si="27"/>
        <v>0.69821746304347831</v>
      </c>
      <c r="AB99" s="111">
        <f t="shared" si="36"/>
        <v>6200</v>
      </c>
    </row>
    <row r="100" spans="1:28" ht="27.75" customHeight="1" x14ac:dyDescent="0.25">
      <c r="A100" s="40" t="s">
        <v>563</v>
      </c>
      <c r="B100" s="43" t="s">
        <v>139</v>
      </c>
      <c r="C100" s="42">
        <v>8998866200813</v>
      </c>
      <c r="D100" s="37">
        <v>3933.93</v>
      </c>
      <c r="E100" s="37">
        <f t="shared" si="37"/>
        <v>4366.6623</v>
      </c>
      <c r="F100" s="35">
        <v>7400</v>
      </c>
      <c r="G100" s="36">
        <f t="shared" si="38"/>
        <v>0.40991049999999996</v>
      </c>
      <c r="H100" s="37">
        <v>14800</v>
      </c>
      <c r="I100" s="36">
        <f t="shared" si="35"/>
        <v>0.70495525000000003</v>
      </c>
      <c r="J100" s="33">
        <v>5800</v>
      </c>
      <c r="K100" s="36">
        <f t="shared" si="39"/>
        <v>0.24712718965517236</v>
      </c>
      <c r="L100" s="54">
        <v>6700</v>
      </c>
      <c r="M100" s="36">
        <f t="shared" si="40"/>
        <v>0.34825935820895521</v>
      </c>
      <c r="N100" s="38">
        <v>3933.9630000000002</v>
      </c>
      <c r="O100" s="68">
        <f t="shared" si="41"/>
        <v>4366.6989300000005</v>
      </c>
      <c r="P100" s="86">
        <v>5800</v>
      </c>
      <c r="Q100" s="65">
        <f t="shared" si="42"/>
        <v>0.24712087413793091</v>
      </c>
      <c r="R100" s="144">
        <v>6700</v>
      </c>
      <c r="S100" s="97">
        <f t="shared" si="34"/>
        <v>0.348253891044776</v>
      </c>
      <c r="T100" s="136">
        <v>7400</v>
      </c>
      <c r="U100" s="52">
        <f t="shared" si="18"/>
        <v>0.4099055499999999</v>
      </c>
      <c r="V100" s="82">
        <v>8800</v>
      </c>
      <c r="W100" s="52">
        <f t="shared" si="25"/>
        <v>0.50378421249999994</v>
      </c>
      <c r="X100" s="82">
        <v>10800</v>
      </c>
      <c r="Y100" s="52">
        <f t="shared" si="26"/>
        <v>0.59567602499999994</v>
      </c>
      <c r="Z100" s="82">
        <v>14800</v>
      </c>
      <c r="AA100" s="52">
        <f t="shared" si="27"/>
        <v>0.70495277499999998</v>
      </c>
      <c r="AB100" s="111">
        <f t="shared" si="36"/>
        <v>6100</v>
      </c>
    </row>
    <row r="101" spans="1:28" ht="22.5" customHeight="1" x14ac:dyDescent="0.25">
      <c r="A101" s="40" t="s">
        <v>564</v>
      </c>
      <c r="B101" s="43" t="s">
        <v>364</v>
      </c>
      <c r="C101" s="42">
        <v>8998866202930</v>
      </c>
      <c r="D101" s="33">
        <v>3751.88</v>
      </c>
      <c r="E101" s="37">
        <f t="shared" si="37"/>
        <v>4164.5868</v>
      </c>
      <c r="F101" s="35">
        <v>7100</v>
      </c>
      <c r="G101" s="36">
        <f t="shared" si="38"/>
        <v>0.41343847887323937</v>
      </c>
      <c r="H101" s="37">
        <v>14100</v>
      </c>
      <c r="I101" s="36">
        <f t="shared" si="35"/>
        <v>0.70463923404255313</v>
      </c>
      <c r="J101" s="37">
        <v>5900</v>
      </c>
      <c r="K101" s="36">
        <f t="shared" si="39"/>
        <v>0.29413783050847458</v>
      </c>
      <c r="L101" s="54">
        <v>6400</v>
      </c>
      <c r="M101" s="36">
        <f t="shared" si="40"/>
        <v>0.34928331249999994</v>
      </c>
      <c r="N101" s="38">
        <v>3751.8910000000001</v>
      </c>
      <c r="O101" s="68">
        <f t="shared" si="41"/>
        <v>4164.5990099999999</v>
      </c>
      <c r="P101" s="86">
        <v>5900</v>
      </c>
      <c r="Q101" s="65">
        <f t="shared" si="42"/>
        <v>0.29413576101694916</v>
      </c>
      <c r="R101" s="144">
        <v>6499</v>
      </c>
      <c r="S101" s="97">
        <f t="shared" si="34"/>
        <v>0.35919387444222189</v>
      </c>
      <c r="T101" s="136">
        <v>7100</v>
      </c>
      <c r="U101" s="52">
        <f t="shared" si="18"/>
        <v>0.41343675915492956</v>
      </c>
      <c r="V101" s="82">
        <v>8400</v>
      </c>
      <c r="W101" s="52">
        <f t="shared" si="25"/>
        <v>0.50421440357142844</v>
      </c>
      <c r="X101" s="82">
        <v>10400</v>
      </c>
      <c r="Y101" s="52">
        <f t="shared" si="26"/>
        <v>0.59955778749999999</v>
      </c>
      <c r="Z101" s="82">
        <v>13800</v>
      </c>
      <c r="AA101" s="52">
        <f t="shared" si="27"/>
        <v>0.69821746304347831</v>
      </c>
      <c r="AB101" s="111">
        <f t="shared" si="36"/>
        <v>6200</v>
      </c>
    </row>
    <row r="102" spans="1:28" ht="25.5" customHeight="1" x14ac:dyDescent="0.25">
      <c r="A102" s="40" t="s">
        <v>565</v>
      </c>
      <c r="B102" s="75" t="s">
        <v>101</v>
      </c>
      <c r="C102" s="42">
        <v>8991002502390</v>
      </c>
      <c r="D102" s="37">
        <v>7916.26</v>
      </c>
      <c r="E102" s="37">
        <f t="shared" si="37"/>
        <v>8787.0486000000001</v>
      </c>
      <c r="F102" s="35">
        <v>15000</v>
      </c>
      <c r="G102" s="36">
        <f t="shared" si="38"/>
        <v>0.41419675999999989</v>
      </c>
      <c r="H102" s="37">
        <v>29700</v>
      </c>
      <c r="I102" s="36">
        <f t="shared" si="35"/>
        <v>0.70413977777777759</v>
      </c>
      <c r="J102" s="33">
        <v>11000</v>
      </c>
      <c r="K102" s="36">
        <f t="shared" si="39"/>
        <v>0.20117739999999995</v>
      </c>
      <c r="L102" s="54">
        <v>13600</v>
      </c>
      <c r="M102" s="36">
        <f t="shared" si="40"/>
        <v>0.35389348529411752</v>
      </c>
      <c r="N102" s="38">
        <v>7916.2610000000004</v>
      </c>
      <c r="O102" s="138">
        <f t="shared" si="41"/>
        <v>8787.0497100000011</v>
      </c>
      <c r="P102" s="126">
        <v>11000</v>
      </c>
      <c r="Q102" s="65">
        <f t="shared" si="42"/>
        <v>0.20117729909090903</v>
      </c>
      <c r="R102" s="144">
        <v>13599</v>
      </c>
      <c r="S102" s="97">
        <f t="shared" si="34"/>
        <v>0.35384589234502528</v>
      </c>
      <c r="T102" s="136">
        <v>15000</v>
      </c>
      <c r="U102" s="52">
        <f t="shared" si="18"/>
        <v>0.41419668599999987</v>
      </c>
      <c r="V102" s="82">
        <v>17600</v>
      </c>
      <c r="W102" s="52">
        <f t="shared" si="25"/>
        <v>0.50073581193181815</v>
      </c>
      <c r="X102" s="82">
        <v>22000</v>
      </c>
      <c r="Y102" s="52">
        <f t="shared" si="26"/>
        <v>0.60058864954545454</v>
      </c>
      <c r="Z102" s="82">
        <v>29000</v>
      </c>
      <c r="AA102" s="52">
        <f t="shared" si="27"/>
        <v>0.69699828586206902</v>
      </c>
      <c r="AB102" s="111">
        <f t="shared" si="36"/>
        <v>11300</v>
      </c>
    </row>
    <row r="103" spans="1:28" ht="24.75" customHeight="1" x14ac:dyDescent="0.25">
      <c r="A103" s="40" t="s">
        <v>566</v>
      </c>
      <c r="B103" s="43" t="s">
        <v>391</v>
      </c>
      <c r="C103" s="47">
        <v>8990019000004</v>
      </c>
      <c r="D103" s="37">
        <v>1657.65</v>
      </c>
      <c r="E103" s="37">
        <f t="shared" si="37"/>
        <v>1839.9915000000001</v>
      </c>
      <c r="F103" s="35">
        <v>3100</v>
      </c>
      <c r="G103" s="36">
        <f t="shared" si="38"/>
        <v>0.40645435483870962</v>
      </c>
      <c r="H103" s="37">
        <v>6200</v>
      </c>
      <c r="I103" s="36">
        <f t="shared" si="35"/>
        <v>0.70322717741935481</v>
      </c>
      <c r="J103" s="37">
        <v>2999</v>
      </c>
      <c r="K103" s="36">
        <f t="shared" si="39"/>
        <v>0.38646498832944304</v>
      </c>
      <c r="L103" s="54">
        <v>2900</v>
      </c>
      <c r="M103" s="36">
        <f t="shared" si="40"/>
        <v>0.36552017241379303</v>
      </c>
      <c r="N103" s="38">
        <v>1531.53</v>
      </c>
      <c r="O103" s="58">
        <f t="shared" si="41"/>
        <v>1699.9983</v>
      </c>
      <c r="P103" s="127">
        <v>2999</v>
      </c>
      <c r="Q103" s="65">
        <f t="shared" si="42"/>
        <v>0.43314494831610534</v>
      </c>
      <c r="R103" s="144">
        <v>2999</v>
      </c>
      <c r="S103" s="97">
        <f t="shared" si="34"/>
        <v>0.43314494831610534</v>
      </c>
      <c r="T103" s="135">
        <v>3179</v>
      </c>
      <c r="U103" s="52">
        <f t="shared" si="18"/>
        <v>0.46524117647058816</v>
      </c>
      <c r="V103" s="82">
        <v>3400</v>
      </c>
      <c r="W103" s="52">
        <f t="shared" si="25"/>
        <v>0.50000049999999996</v>
      </c>
      <c r="X103" s="82">
        <v>4200</v>
      </c>
      <c r="Y103" s="52">
        <f t="shared" si="26"/>
        <v>0.5952385</v>
      </c>
      <c r="Z103" s="82">
        <v>5600</v>
      </c>
      <c r="AA103" s="52">
        <f t="shared" si="27"/>
        <v>0.69642887499999995</v>
      </c>
      <c r="AB103" s="111">
        <f t="shared" si="36"/>
        <v>3299</v>
      </c>
    </row>
    <row r="104" spans="1:28" ht="24" customHeight="1" x14ac:dyDescent="0.25">
      <c r="A104" s="40" t="s">
        <v>567</v>
      </c>
      <c r="B104" s="43" t="s">
        <v>218</v>
      </c>
      <c r="C104" s="47">
        <v>8996001600375</v>
      </c>
      <c r="D104" s="37">
        <v>1388.89</v>
      </c>
      <c r="E104" s="37">
        <f t="shared" si="37"/>
        <v>1541.6679000000001</v>
      </c>
      <c r="F104" s="35">
        <v>3200</v>
      </c>
      <c r="G104" s="36">
        <f t="shared" si="38"/>
        <v>0.51822878124999994</v>
      </c>
      <c r="H104" s="37">
        <v>6000</v>
      </c>
      <c r="I104" s="36">
        <f t="shared" si="35"/>
        <v>0.74305534999999989</v>
      </c>
      <c r="J104" s="37">
        <v>3700</v>
      </c>
      <c r="K104" s="36">
        <f t="shared" si="39"/>
        <v>0.58333299999999999</v>
      </c>
      <c r="L104" s="54">
        <v>2400</v>
      </c>
      <c r="M104" s="36">
        <f t="shared" si="40"/>
        <v>0.35763837499999995</v>
      </c>
      <c r="N104" s="38">
        <v>1388.28</v>
      </c>
      <c r="O104" s="68">
        <f t="shared" si="41"/>
        <v>1540.9908</v>
      </c>
      <c r="P104" s="86">
        <v>3700</v>
      </c>
      <c r="Q104" s="65">
        <f t="shared" si="42"/>
        <v>0.58351600000000003</v>
      </c>
      <c r="R104" s="144">
        <v>3700</v>
      </c>
      <c r="S104" s="97">
        <f t="shared" si="34"/>
        <v>0.58351600000000003</v>
      </c>
      <c r="T104" s="135">
        <v>3700</v>
      </c>
      <c r="U104" s="52">
        <f t="shared" si="18"/>
        <v>0.58351600000000003</v>
      </c>
      <c r="V104" s="82">
        <v>3700</v>
      </c>
      <c r="W104" s="52">
        <f t="shared" si="25"/>
        <v>0.58351600000000003</v>
      </c>
      <c r="X104" s="82">
        <v>3900</v>
      </c>
      <c r="Y104" s="52">
        <f t="shared" si="26"/>
        <v>0.60487415384615384</v>
      </c>
      <c r="Z104" s="82">
        <v>5200</v>
      </c>
      <c r="AA104" s="52">
        <f t="shared" si="27"/>
        <v>0.70365561538461552</v>
      </c>
      <c r="AB104" s="111">
        <f t="shared" si="36"/>
        <v>4000</v>
      </c>
    </row>
    <row r="105" spans="1:28" ht="26.25" customHeight="1" x14ac:dyDescent="0.25">
      <c r="A105" s="40" t="s">
        <v>568</v>
      </c>
      <c r="B105" s="43" t="s">
        <v>211</v>
      </c>
      <c r="C105" s="47" t="s">
        <v>212</v>
      </c>
      <c r="D105" s="37">
        <v>3790.35</v>
      </c>
      <c r="E105" s="37">
        <f t="shared" si="37"/>
        <v>4207.2884999999997</v>
      </c>
      <c r="F105" s="35">
        <v>7100</v>
      </c>
      <c r="G105" s="36">
        <f t="shared" si="38"/>
        <v>0.40742415492957751</v>
      </c>
      <c r="H105" s="37">
        <v>14200</v>
      </c>
      <c r="I105" s="36">
        <f t="shared" si="35"/>
        <v>0.7037120774647887</v>
      </c>
      <c r="J105" s="37">
        <v>6000</v>
      </c>
      <c r="K105" s="36">
        <f t="shared" si="39"/>
        <v>0.29878524999999995</v>
      </c>
      <c r="L105" s="54">
        <v>6500</v>
      </c>
      <c r="M105" s="36">
        <f t="shared" si="40"/>
        <v>0.35272484615384608</v>
      </c>
      <c r="N105" s="38">
        <v>3829</v>
      </c>
      <c r="O105" s="58">
        <f t="shared" si="41"/>
        <v>4250.1899999999996</v>
      </c>
      <c r="P105" s="86">
        <v>6000</v>
      </c>
      <c r="Q105" s="65">
        <f t="shared" si="42"/>
        <v>0.29163499999999992</v>
      </c>
      <c r="R105" s="144">
        <v>6699</v>
      </c>
      <c r="S105" s="97">
        <f t="shared" si="34"/>
        <v>0.36554858934169276</v>
      </c>
      <c r="T105" s="136">
        <v>7200</v>
      </c>
      <c r="U105" s="52">
        <f t="shared" si="18"/>
        <v>0.40969583333333331</v>
      </c>
      <c r="V105" s="82">
        <v>8500</v>
      </c>
      <c r="W105" s="52">
        <f t="shared" si="25"/>
        <v>0.49997764705882353</v>
      </c>
      <c r="X105" s="82">
        <v>10700</v>
      </c>
      <c r="Y105" s="52">
        <f t="shared" si="26"/>
        <v>0.60278598130841121</v>
      </c>
      <c r="Z105" s="82">
        <v>14000</v>
      </c>
      <c r="AA105" s="52">
        <f t="shared" si="27"/>
        <v>0.69641500000000001</v>
      </c>
      <c r="AB105" s="111">
        <f t="shared" si="36"/>
        <v>6300</v>
      </c>
    </row>
    <row r="106" spans="1:28" ht="25.5" customHeight="1" x14ac:dyDescent="0.25">
      <c r="A106" s="40" t="s">
        <v>569</v>
      </c>
      <c r="B106" s="43" t="s">
        <v>382</v>
      </c>
      <c r="C106" s="42">
        <v>8996001600221</v>
      </c>
      <c r="D106" s="37">
        <v>4864.8599999999997</v>
      </c>
      <c r="E106" s="37">
        <f t="shared" si="37"/>
        <v>5399.9946</v>
      </c>
      <c r="F106" s="35">
        <v>9200</v>
      </c>
      <c r="G106" s="36">
        <f t="shared" si="38"/>
        <v>0.41304406521739129</v>
      </c>
      <c r="H106" s="37">
        <v>18300</v>
      </c>
      <c r="I106" s="36">
        <f t="shared" si="35"/>
        <v>0.70491832786885245</v>
      </c>
      <c r="J106" s="37">
        <v>8900</v>
      </c>
      <c r="K106" s="36">
        <f t="shared" si="39"/>
        <v>0.39325903370786519</v>
      </c>
      <c r="L106" s="54">
        <v>8300</v>
      </c>
      <c r="M106" s="36">
        <f t="shared" si="40"/>
        <v>0.34939824096385541</v>
      </c>
      <c r="N106" s="38">
        <v>5180.18</v>
      </c>
      <c r="O106" s="68">
        <f t="shared" si="41"/>
        <v>5749.9998000000005</v>
      </c>
      <c r="P106" s="86">
        <v>8900</v>
      </c>
      <c r="Q106" s="65">
        <f t="shared" si="42"/>
        <v>0.35393260674157301</v>
      </c>
      <c r="R106" s="144">
        <v>8900</v>
      </c>
      <c r="S106" s="97">
        <f t="shared" si="34"/>
        <v>0.35393260674157301</v>
      </c>
      <c r="T106" s="136">
        <v>9700</v>
      </c>
      <c r="U106" s="52">
        <f t="shared" si="18"/>
        <v>0.40721651546391735</v>
      </c>
      <c r="V106" s="82">
        <v>11600</v>
      </c>
      <c r="W106" s="52">
        <f t="shared" si="25"/>
        <v>0.5043103620689654</v>
      </c>
      <c r="X106" s="82">
        <v>14400</v>
      </c>
      <c r="Y106" s="52">
        <f t="shared" si="26"/>
        <v>0.60069445833333324</v>
      </c>
      <c r="Z106" s="82">
        <v>19000</v>
      </c>
      <c r="AA106" s="52">
        <f t="shared" si="27"/>
        <v>0.69736843157894723</v>
      </c>
      <c r="AB106" s="111">
        <f t="shared" si="36"/>
        <v>9200</v>
      </c>
    </row>
    <row r="107" spans="1:28" ht="24.75" customHeight="1" x14ac:dyDescent="0.25">
      <c r="A107" s="40" t="s">
        <v>570</v>
      </c>
      <c r="B107" s="43" t="s">
        <v>363</v>
      </c>
      <c r="C107" s="42">
        <v>8991002122017</v>
      </c>
      <c r="D107" s="37">
        <v>2965.77</v>
      </c>
      <c r="E107" s="37">
        <f t="shared" si="37"/>
        <v>3292.0047</v>
      </c>
      <c r="F107" s="35">
        <v>5600</v>
      </c>
      <c r="G107" s="36">
        <f t="shared" si="38"/>
        <v>0.41214201785714277</v>
      </c>
      <c r="H107" s="37">
        <v>11100</v>
      </c>
      <c r="I107" s="36">
        <f t="shared" si="35"/>
        <v>0.70342300000000002</v>
      </c>
      <c r="J107" s="37">
        <v>4900</v>
      </c>
      <c r="K107" s="36">
        <f t="shared" si="39"/>
        <v>0.32816230612244884</v>
      </c>
      <c r="L107" s="54">
        <v>5100</v>
      </c>
      <c r="M107" s="36">
        <f t="shared" si="40"/>
        <v>0.35450888235294109</v>
      </c>
      <c r="N107" s="38">
        <v>2965.4589999999998</v>
      </c>
      <c r="O107" s="58">
        <f t="shared" si="41"/>
        <v>3291.65949</v>
      </c>
      <c r="P107" s="86">
        <v>4900</v>
      </c>
      <c r="Q107" s="65">
        <f t="shared" si="42"/>
        <v>0.32823275714285705</v>
      </c>
      <c r="R107" s="144">
        <v>5100</v>
      </c>
      <c r="S107" s="97">
        <f t="shared" si="34"/>
        <v>0.35457657058823527</v>
      </c>
      <c r="T107" s="135">
        <v>5600</v>
      </c>
      <c r="U107" s="52">
        <f t="shared" si="18"/>
        <v>0.41220366249999996</v>
      </c>
      <c r="V107" s="82">
        <v>6600</v>
      </c>
      <c r="W107" s="52">
        <f t="shared" si="25"/>
        <v>0.50126371363636368</v>
      </c>
      <c r="X107" s="82">
        <v>8200</v>
      </c>
      <c r="Y107" s="52">
        <f t="shared" si="26"/>
        <v>0.59857811097560965</v>
      </c>
      <c r="Z107" s="82">
        <v>11000</v>
      </c>
      <c r="AA107" s="52">
        <f t="shared" si="27"/>
        <v>0.70075822818181821</v>
      </c>
      <c r="AB107" s="111">
        <f t="shared" si="36"/>
        <v>5200</v>
      </c>
    </row>
    <row r="108" spans="1:28" ht="31.5" customHeight="1" x14ac:dyDescent="0.25">
      <c r="A108" s="40" t="s">
        <v>571</v>
      </c>
      <c r="B108" s="43" t="s">
        <v>346</v>
      </c>
      <c r="C108" s="42">
        <v>8998866202466</v>
      </c>
      <c r="D108" s="33">
        <v>3924.01</v>
      </c>
      <c r="E108" s="37">
        <f t="shared" si="37"/>
        <v>4355.6511</v>
      </c>
      <c r="F108" s="35">
        <v>7400</v>
      </c>
      <c r="G108" s="36">
        <f t="shared" si="38"/>
        <v>0.41139849999999994</v>
      </c>
      <c r="H108" s="37">
        <v>14700</v>
      </c>
      <c r="I108" s="36">
        <f t="shared" si="35"/>
        <v>0.70369720408163261</v>
      </c>
      <c r="J108" s="33">
        <v>5700</v>
      </c>
      <c r="K108" s="36">
        <f t="shared" si="39"/>
        <v>0.23585068421052627</v>
      </c>
      <c r="L108" s="54">
        <v>6700</v>
      </c>
      <c r="M108" s="36">
        <f t="shared" si="40"/>
        <v>0.34990282089552233</v>
      </c>
      <c r="N108" s="38">
        <v>3924.05</v>
      </c>
      <c r="O108" s="58">
        <f t="shared" si="41"/>
        <v>4355.6954999999998</v>
      </c>
      <c r="P108" s="127">
        <v>5700</v>
      </c>
      <c r="Q108" s="65">
        <f t="shared" si="42"/>
        <v>0.23584289473684206</v>
      </c>
      <c r="R108" s="144">
        <v>7101</v>
      </c>
      <c r="S108" s="97">
        <f t="shared" si="34"/>
        <v>0.38660815378115748</v>
      </c>
      <c r="T108" s="135">
        <v>7400</v>
      </c>
      <c r="U108" s="52">
        <f t="shared" si="18"/>
        <v>0.41139249999999988</v>
      </c>
      <c r="V108" s="82">
        <v>8700</v>
      </c>
      <c r="W108" s="52">
        <f t="shared" si="25"/>
        <v>0.49934534482758619</v>
      </c>
      <c r="X108" s="82">
        <v>10800</v>
      </c>
      <c r="Y108" s="52">
        <f t="shared" si="26"/>
        <v>0.59669486111111092</v>
      </c>
      <c r="Z108" s="82">
        <v>14500</v>
      </c>
      <c r="AA108" s="52">
        <f t="shared" si="27"/>
        <v>0.69960720689655187</v>
      </c>
      <c r="AB108" s="111">
        <f t="shared" si="36"/>
        <v>6000</v>
      </c>
    </row>
    <row r="109" spans="1:28" ht="27.75" customHeight="1" x14ac:dyDescent="0.25">
      <c r="A109" s="40" t="s">
        <v>572</v>
      </c>
      <c r="B109" s="43" t="s">
        <v>77</v>
      </c>
      <c r="C109" s="42">
        <v>8994947000242</v>
      </c>
      <c r="D109" s="33">
        <v>5100</v>
      </c>
      <c r="E109" s="37">
        <f t="shared" si="37"/>
        <v>5661</v>
      </c>
      <c r="F109" s="35">
        <v>9600</v>
      </c>
      <c r="G109" s="36">
        <f t="shared" si="38"/>
        <v>0.41031249999999997</v>
      </c>
      <c r="H109" s="37">
        <v>19100</v>
      </c>
      <c r="I109" s="36">
        <f t="shared" si="35"/>
        <v>0.70361256544502604</v>
      </c>
      <c r="J109" s="37">
        <v>11300</v>
      </c>
      <c r="K109" s="36">
        <f t="shared" si="39"/>
        <v>0.49902654867256635</v>
      </c>
      <c r="L109" s="54">
        <v>8700</v>
      </c>
      <c r="M109" s="36">
        <f t="shared" si="40"/>
        <v>0.34931034482758616</v>
      </c>
      <c r="N109" s="38">
        <v>5210</v>
      </c>
      <c r="O109" s="58">
        <f t="shared" si="41"/>
        <v>5783.1</v>
      </c>
      <c r="P109" s="127">
        <v>11300</v>
      </c>
      <c r="Q109" s="65">
        <f t="shared" si="42"/>
        <v>0.48822123893805308</v>
      </c>
      <c r="R109" s="144">
        <v>11300</v>
      </c>
      <c r="S109" s="97">
        <f t="shared" si="34"/>
        <v>0.48822123893805308</v>
      </c>
      <c r="T109" s="135">
        <v>11300</v>
      </c>
      <c r="U109" s="52">
        <f t="shared" si="18"/>
        <v>0.48822123893805308</v>
      </c>
      <c r="V109" s="82">
        <v>11600</v>
      </c>
      <c r="W109" s="52">
        <f t="shared" si="25"/>
        <v>0.5014568965517241</v>
      </c>
      <c r="X109" s="82">
        <v>14400</v>
      </c>
      <c r="Y109" s="52">
        <f t="shared" si="26"/>
        <v>0.59839583333333324</v>
      </c>
      <c r="Z109" s="82">
        <v>19000</v>
      </c>
      <c r="AA109" s="52">
        <f t="shared" si="27"/>
        <v>0.69562631578947365</v>
      </c>
      <c r="AB109" s="111">
        <f t="shared" si="36"/>
        <v>11600</v>
      </c>
    </row>
    <row r="110" spans="1:28" ht="33" customHeight="1" x14ac:dyDescent="0.25">
      <c r="A110" s="40" t="s">
        <v>573</v>
      </c>
      <c r="B110" s="41" t="s">
        <v>164</v>
      </c>
      <c r="C110" s="53">
        <v>9556156003347</v>
      </c>
      <c r="D110" s="37">
        <v>5525.54</v>
      </c>
      <c r="E110" s="37">
        <f t="shared" si="37"/>
        <v>6133.3494000000001</v>
      </c>
      <c r="F110" s="35">
        <v>10400</v>
      </c>
      <c r="G110" s="36">
        <f t="shared" si="38"/>
        <v>0.41025486538461542</v>
      </c>
      <c r="H110" s="37">
        <v>20700</v>
      </c>
      <c r="I110" s="36">
        <f t="shared" si="35"/>
        <v>0.70370292753623176</v>
      </c>
      <c r="J110" s="37">
        <v>8100</v>
      </c>
      <c r="K110" s="36">
        <f t="shared" si="39"/>
        <v>0.24279637037037033</v>
      </c>
      <c r="L110" s="54">
        <v>9500</v>
      </c>
      <c r="M110" s="36">
        <f t="shared" si="40"/>
        <v>0.35438427368421044</v>
      </c>
      <c r="N110" s="38">
        <v>6354.37</v>
      </c>
      <c r="O110" s="58">
        <f t="shared" si="41"/>
        <v>7053.3507</v>
      </c>
      <c r="P110" s="129">
        <v>10900</v>
      </c>
      <c r="Q110" s="65">
        <f t="shared" si="42"/>
        <v>0.3529036055045871</v>
      </c>
      <c r="R110" s="144">
        <v>10900</v>
      </c>
      <c r="S110" s="97">
        <f t="shared" si="34"/>
        <v>0.3529036055045871</v>
      </c>
      <c r="T110" s="135">
        <v>12000</v>
      </c>
      <c r="U110" s="52">
        <f t="shared" si="18"/>
        <v>0.41222077499999998</v>
      </c>
      <c r="V110" s="82">
        <v>14000</v>
      </c>
      <c r="W110" s="52">
        <f t="shared" si="25"/>
        <v>0.49618923571428564</v>
      </c>
      <c r="X110" s="82">
        <v>17600</v>
      </c>
      <c r="Y110" s="52">
        <f t="shared" si="26"/>
        <v>0.59924143750000003</v>
      </c>
      <c r="Z110" s="82">
        <v>23500</v>
      </c>
      <c r="AA110" s="52">
        <f t="shared" si="27"/>
        <v>0.69985741702127657</v>
      </c>
      <c r="AB110" s="111">
        <f t="shared" si="36"/>
        <v>8400</v>
      </c>
    </row>
    <row r="111" spans="1:28" ht="25.5" customHeight="1" x14ac:dyDescent="0.25">
      <c r="A111" s="40" t="s">
        <v>574</v>
      </c>
      <c r="B111" s="41" t="s">
        <v>168</v>
      </c>
      <c r="C111" s="53">
        <v>6956367311904</v>
      </c>
      <c r="D111" s="37">
        <v>7035</v>
      </c>
      <c r="E111" s="37">
        <f t="shared" si="37"/>
        <v>7808.85</v>
      </c>
      <c r="F111" s="35">
        <v>13300</v>
      </c>
      <c r="G111" s="36">
        <f t="shared" si="38"/>
        <v>0.4128684210526315</v>
      </c>
      <c r="H111" s="37">
        <v>26400</v>
      </c>
      <c r="I111" s="36">
        <f t="shared" si="35"/>
        <v>0.70421022727272731</v>
      </c>
      <c r="J111" s="37">
        <v>14800</v>
      </c>
      <c r="K111" s="36">
        <f t="shared" si="39"/>
        <v>0.47237499999999993</v>
      </c>
      <c r="L111" s="54">
        <v>12100</v>
      </c>
      <c r="M111" s="36">
        <f t="shared" si="40"/>
        <v>0.35464049586776858</v>
      </c>
      <c r="N111" s="38">
        <v>7035</v>
      </c>
      <c r="O111" s="68">
        <f t="shared" si="41"/>
        <v>7808.85</v>
      </c>
      <c r="P111" s="86">
        <v>13900</v>
      </c>
      <c r="Q111" s="65">
        <f t="shared" si="42"/>
        <v>0.43821223021582734</v>
      </c>
      <c r="R111" s="144">
        <v>13900</v>
      </c>
      <c r="S111" s="97">
        <f t="shared" si="34"/>
        <v>0.43821223021582734</v>
      </c>
      <c r="T111" s="135">
        <v>15300</v>
      </c>
      <c r="U111" s="52">
        <f t="shared" si="18"/>
        <v>0.48961764705882355</v>
      </c>
      <c r="V111" s="82">
        <v>15600</v>
      </c>
      <c r="W111" s="52">
        <f t="shared" si="25"/>
        <v>0.49943269230769227</v>
      </c>
      <c r="X111" s="82">
        <v>19400</v>
      </c>
      <c r="Y111" s="52">
        <f t="shared" si="26"/>
        <v>0.59748195876288646</v>
      </c>
      <c r="Z111" s="82">
        <v>26000</v>
      </c>
      <c r="AA111" s="52">
        <f t="shared" si="27"/>
        <v>0.69965961538461541</v>
      </c>
      <c r="AB111" s="111">
        <f t="shared" si="36"/>
        <v>15100</v>
      </c>
    </row>
    <row r="112" spans="1:28" ht="27" customHeight="1" x14ac:dyDescent="0.25">
      <c r="A112" s="40" t="s">
        <v>575</v>
      </c>
      <c r="B112" s="108" t="s">
        <v>217</v>
      </c>
      <c r="C112" s="47">
        <v>8992761145118</v>
      </c>
      <c r="D112" s="55">
        <v>3159</v>
      </c>
      <c r="E112" s="37">
        <f t="shared" si="37"/>
        <v>3506.49</v>
      </c>
      <c r="F112" s="46">
        <v>6000</v>
      </c>
      <c r="G112" s="36">
        <f t="shared" si="38"/>
        <v>0.41558499999999998</v>
      </c>
      <c r="H112" s="56" t="s">
        <v>4</v>
      </c>
      <c r="I112" s="39" t="s">
        <v>4</v>
      </c>
      <c r="J112" s="37">
        <v>5299</v>
      </c>
      <c r="K112" s="36">
        <f t="shared" si="39"/>
        <v>0.33827325910549161</v>
      </c>
      <c r="L112" s="54">
        <v>5400</v>
      </c>
      <c r="M112" s="36">
        <f t="shared" si="40"/>
        <v>0.35064999999999991</v>
      </c>
      <c r="N112" s="38">
        <v>2872.07</v>
      </c>
      <c r="O112" s="58">
        <f t="shared" si="41"/>
        <v>3187.9977000000003</v>
      </c>
      <c r="P112" s="86">
        <v>5299</v>
      </c>
      <c r="Q112" s="65">
        <f t="shared" si="42"/>
        <v>0.39837748631817321</v>
      </c>
      <c r="R112" s="144">
        <v>5299</v>
      </c>
      <c r="S112" s="97">
        <f t="shared" si="34"/>
        <v>0.39837748631817321</v>
      </c>
      <c r="T112" s="135">
        <v>5400</v>
      </c>
      <c r="U112" s="52">
        <f t="shared" si="18"/>
        <v>0.40963005555555537</v>
      </c>
      <c r="V112" s="82">
        <v>6400</v>
      </c>
      <c r="W112" s="52">
        <f t="shared" si="25"/>
        <v>0.50187535937499994</v>
      </c>
      <c r="X112" s="82">
        <v>8000</v>
      </c>
      <c r="Y112" s="52">
        <f t="shared" si="26"/>
        <v>0.60150028749999995</v>
      </c>
      <c r="Z112" s="82">
        <v>10500</v>
      </c>
      <c r="AA112" s="52">
        <f t="shared" si="27"/>
        <v>0.69638117142857137</v>
      </c>
      <c r="AB112" s="111">
        <f t="shared" si="36"/>
        <v>5599</v>
      </c>
    </row>
    <row r="113" spans="1:33" ht="28.5" customHeight="1" x14ac:dyDescent="0.25">
      <c r="A113" s="40" t="s">
        <v>576</v>
      </c>
      <c r="B113" s="43" t="s">
        <v>352</v>
      </c>
      <c r="C113" s="42">
        <v>8997009781493</v>
      </c>
      <c r="D113" s="33">
        <v>7500</v>
      </c>
      <c r="E113" s="37">
        <f t="shared" si="37"/>
        <v>8325</v>
      </c>
      <c r="F113" s="35">
        <v>14200</v>
      </c>
      <c r="G113" s="36">
        <f t="shared" si="38"/>
        <v>0.41373239436619713</v>
      </c>
      <c r="H113" s="37">
        <v>28200</v>
      </c>
      <c r="I113" s="36">
        <f t="shared" ref="I113:I138" si="43">(H113/1.11-D113)/H113*1.11</f>
        <v>0.70478723404255317</v>
      </c>
      <c r="J113" s="33">
        <v>10999</v>
      </c>
      <c r="K113" s="36">
        <f t="shared" si="39"/>
        <v>0.24311301027366125</v>
      </c>
      <c r="L113" s="54">
        <v>12900</v>
      </c>
      <c r="M113" s="36">
        <f t="shared" si="40"/>
        <v>0.35465116279069758</v>
      </c>
      <c r="N113" s="38">
        <v>7499.99</v>
      </c>
      <c r="O113" s="58">
        <f t="shared" si="41"/>
        <v>8324.9889000000003</v>
      </c>
      <c r="P113" s="86">
        <v>12700</v>
      </c>
      <c r="Q113" s="65">
        <f t="shared" si="42"/>
        <v>0.34448906299212595</v>
      </c>
      <c r="R113" s="144">
        <v>12900</v>
      </c>
      <c r="S113" s="97">
        <f t="shared" si="34"/>
        <v>0.35465202325581385</v>
      </c>
      <c r="T113" s="136">
        <v>14200</v>
      </c>
      <c r="U113" s="52">
        <f t="shared" si="18"/>
        <v>0.41373317605633803</v>
      </c>
      <c r="V113" s="82">
        <v>16800</v>
      </c>
      <c r="W113" s="52">
        <f t="shared" si="25"/>
        <v>0.50446494642857131</v>
      </c>
      <c r="X113" s="82">
        <v>21000</v>
      </c>
      <c r="Y113" s="52">
        <f t="shared" si="26"/>
        <v>0.60357195714285716</v>
      </c>
      <c r="Z113" s="82">
        <v>28000</v>
      </c>
      <c r="AA113" s="52">
        <f t="shared" si="27"/>
        <v>0.7026789678571429</v>
      </c>
      <c r="AB113" s="111">
        <f t="shared" si="36"/>
        <v>11299</v>
      </c>
    </row>
    <row r="114" spans="1:33" ht="25.5" customHeight="1" x14ac:dyDescent="0.25">
      <c r="A114" s="40" t="s">
        <v>657</v>
      </c>
      <c r="B114" s="43" t="s">
        <v>385</v>
      </c>
      <c r="C114" s="42">
        <v>8992918401500</v>
      </c>
      <c r="D114" s="37">
        <v>5900</v>
      </c>
      <c r="E114" s="37">
        <f t="shared" si="37"/>
        <v>6549</v>
      </c>
      <c r="F114" s="35">
        <v>11100</v>
      </c>
      <c r="G114" s="36">
        <f t="shared" si="38"/>
        <v>0.41000000000000003</v>
      </c>
      <c r="H114" s="37">
        <v>22100</v>
      </c>
      <c r="I114" s="36">
        <f t="shared" si="43"/>
        <v>0.7036651583710406</v>
      </c>
      <c r="J114" s="33">
        <v>8200</v>
      </c>
      <c r="K114" s="36">
        <f t="shared" si="39"/>
        <v>0.20134146341463402</v>
      </c>
      <c r="L114" s="54">
        <v>10200</v>
      </c>
      <c r="M114" s="36">
        <f t="shared" si="40"/>
        <v>0.35794117647058815</v>
      </c>
      <c r="N114" s="120">
        <v>5315</v>
      </c>
      <c r="O114" s="78">
        <f t="shared" si="41"/>
        <v>5899.65</v>
      </c>
      <c r="P114" s="86">
        <v>8200</v>
      </c>
      <c r="Q114" s="65">
        <f t="shared" si="42"/>
        <v>0.28053048780487794</v>
      </c>
      <c r="R114" s="144">
        <v>9999</v>
      </c>
      <c r="S114" s="97">
        <f t="shared" si="34"/>
        <v>0.40997599759975983</v>
      </c>
      <c r="T114" s="136">
        <v>11100</v>
      </c>
      <c r="U114" s="52">
        <f t="shared" si="18"/>
        <v>0.46850000000000008</v>
      </c>
      <c r="V114" s="82">
        <v>11800</v>
      </c>
      <c r="W114" s="52">
        <f t="shared" si="25"/>
        <v>0.50002966101694912</v>
      </c>
      <c r="X114" s="82">
        <v>14800</v>
      </c>
      <c r="Y114" s="52">
        <f t="shared" si="26"/>
        <v>0.60137499999999988</v>
      </c>
      <c r="Z114" s="82">
        <v>19500</v>
      </c>
      <c r="AA114" s="52">
        <f t="shared" si="27"/>
        <v>0.6974538461538462</v>
      </c>
      <c r="AB114" s="111">
        <f t="shared" si="36"/>
        <v>8500</v>
      </c>
    </row>
    <row r="115" spans="1:33" ht="32.25" customHeight="1" x14ac:dyDescent="0.25">
      <c r="A115" s="40" t="s">
        <v>577</v>
      </c>
      <c r="B115" s="43" t="s">
        <v>335</v>
      </c>
      <c r="C115" s="42">
        <v>8991002121089</v>
      </c>
      <c r="D115" s="33">
        <v>5161.41</v>
      </c>
      <c r="E115" s="37">
        <f t="shared" si="37"/>
        <v>5729.1651000000002</v>
      </c>
      <c r="F115" s="35">
        <v>9700</v>
      </c>
      <c r="G115" s="36">
        <f t="shared" si="38"/>
        <v>0.40936442268041223</v>
      </c>
      <c r="H115" s="37">
        <v>19400</v>
      </c>
      <c r="I115" s="36">
        <f t="shared" si="43"/>
        <v>0.70468221134020603</v>
      </c>
      <c r="J115" s="37">
        <v>7900</v>
      </c>
      <c r="K115" s="36">
        <f t="shared" si="39"/>
        <v>0.27478922784810123</v>
      </c>
      <c r="L115" s="54">
        <v>9000</v>
      </c>
      <c r="M115" s="36">
        <f t="shared" si="40"/>
        <v>0.36342609999999997</v>
      </c>
      <c r="N115" s="124">
        <v>5161</v>
      </c>
      <c r="O115" s="58">
        <f t="shared" si="41"/>
        <v>5728.71</v>
      </c>
      <c r="P115" s="86">
        <v>7900</v>
      </c>
      <c r="Q115" s="65">
        <f t="shared" si="42"/>
        <v>0.2748468354430379</v>
      </c>
      <c r="R115" s="144">
        <v>8800</v>
      </c>
      <c r="S115" s="97">
        <f t="shared" si="34"/>
        <v>0.34901022727272718</v>
      </c>
      <c r="T115" s="136">
        <v>9700</v>
      </c>
      <c r="U115" s="52">
        <f t="shared" si="18"/>
        <v>0.40941134020618541</v>
      </c>
      <c r="V115" s="82">
        <v>11500</v>
      </c>
      <c r="W115" s="52">
        <f t="shared" si="25"/>
        <v>0.50185130434782599</v>
      </c>
      <c r="X115" s="82">
        <v>14200</v>
      </c>
      <c r="Y115" s="52">
        <f t="shared" si="26"/>
        <v>0.59656971830985916</v>
      </c>
      <c r="Z115" s="82">
        <v>19400</v>
      </c>
      <c r="AA115" s="52">
        <f t="shared" si="27"/>
        <v>0.7047056701030926</v>
      </c>
      <c r="AB115" s="111">
        <f t="shared" si="36"/>
        <v>8200</v>
      </c>
    </row>
    <row r="116" spans="1:33" ht="30.75" customHeight="1" x14ac:dyDescent="0.25">
      <c r="A116" s="40" t="s">
        <v>578</v>
      </c>
      <c r="B116" s="43" t="s">
        <v>353</v>
      </c>
      <c r="C116" s="42">
        <v>8991002121010</v>
      </c>
      <c r="D116" s="33">
        <v>5162.16</v>
      </c>
      <c r="E116" s="37">
        <f t="shared" si="37"/>
        <v>5729.9975999999997</v>
      </c>
      <c r="F116" s="35">
        <v>9700</v>
      </c>
      <c r="G116" s="36">
        <f t="shared" si="38"/>
        <v>0.4092785979381442</v>
      </c>
      <c r="H116" s="37">
        <v>19400</v>
      </c>
      <c r="I116" s="36">
        <f t="shared" si="43"/>
        <v>0.70463929896907207</v>
      </c>
      <c r="J116" s="37">
        <v>7900</v>
      </c>
      <c r="K116" s="36">
        <f t="shared" si="39"/>
        <v>0.27468384810126578</v>
      </c>
      <c r="L116" s="54">
        <v>8800</v>
      </c>
      <c r="M116" s="36">
        <f t="shared" si="40"/>
        <v>0.34886390909090909</v>
      </c>
      <c r="N116" s="38">
        <v>5161</v>
      </c>
      <c r="O116" s="58">
        <f t="shared" si="41"/>
        <v>5728.71</v>
      </c>
      <c r="P116" s="86">
        <v>7900</v>
      </c>
      <c r="Q116" s="65">
        <f t="shared" si="42"/>
        <v>0.2748468354430379</v>
      </c>
      <c r="R116" s="144">
        <v>8800</v>
      </c>
      <c r="S116" s="97">
        <f t="shared" si="34"/>
        <v>0.34901022727272718</v>
      </c>
      <c r="T116" s="135">
        <v>9700</v>
      </c>
      <c r="U116" s="52">
        <f t="shared" si="18"/>
        <v>0.40941134020618541</v>
      </c>
      <c r="V116" s="82">
        <v>11500</v>
      </c>
      <c r="W116" s="52">
        <f t="shared" si="25"/>
        <v>0.50185130434782599</v>
      </c>
      <c r="X116" s="82">
        <v>14500</v>
      </c>
      <c r="Y116" s="52">
        <f t="shared" si="26"/>
        <v>0.60491655172413794</v>
      </c>
      <c r="Z116" s="82">
        <v>19400</v>
      </c>
      <c r="AA116" s="52">
        <f t="shared" si="27"/>
        <v>0.7047056701030926</v>
      </c>
      <c r="AB116" s="111">
        <f t="shared" si="36"/>
        <v>8200</v>
      </c>
      <c r="AG116" s="69"/>
    </row>
    <row r="117" spans="1:33" ht="28.5" customHeight="1" x14ac:dyDescent="0.25">
      <c r="A117" s="40" t="s">
        <v>579</v>
      </c>
      <c r="B117" s="43" t="s">
        <v>370</v>
      </c>
      <c r="C117" s="42">
        <v>8998866201841</v>
      </c>
      <c r="D117" s="37">
        <v>2747.74</v>
      </c>
      <c r="E117" s="37">
        <f t="shared" si="37"/>
        <v>3049.9913999999999</v>
      </c>
      <c r="F117" s="35">
        <v>5200</v>
      </c>
      <c r="G117" s="36">
        <f t="shared" si="38"/>
        <v>0.41346319230769241</v>
      </c>
      <c r="H117" s="37">
        <v>10300</v>
      </c>
      <c r="I117" s="36">
        <f t="shared" si="43"/>
        <v>0.7038843300970874</v>
      </c>
      <c r="J117" s="37">
        <v>4500</v>
      </c>
      <c r="K117" s="36">
        <f t="shared" si="39"/>
        <v>0.32222413333333333</v>
      </c>
      <c r="L117" s="54">
        <v>4700</v>
      </c>
      <c r="M117" s="36">
        <f t="shared" si="40"/>
        <v>0.351065659574468</v>
      </c>
      <c r="N117" s="38">
        <v>2747.74</v>
      </c>
      <c r="O117" s="58">
        <f t="shared" si="41"/>
        <v>3049.9913999999999</v>
      </c>
      <c r="P117" s="86">
        <v>4500</v>
      </c>
      <c r="Q117" s="65">
        <f t="shared" si="42"/>
        <v>0.32222413333333333</v>
      </c>
      <c r="R117" s="144">
        <v>4700</v>
      </c>
      <c r="S117" s="97">
        <f t="shared" si="34"/>
        <v>0.351065659574468</v>
      </c>
      <c r="T117" s="136">
        <v>5200</v>
      </c>
      <c r="U117" s="52">
        <f t="shared" si="18"/>
        <v>0.41346319230769241</v>
      </c>
      <c r="V117" s="82">
        <v>6100</v>
      </c>
      <c r="W117" s="52">
        <f t="shared" si="25"/>
        <v>0.50000140983606556</v>
      </c>
      <c r="X117" s="82">
        <v>7600</v>
      </c>
      <c r="Y117" s="52">
        <f t="shared" si="26"/>
        <v>0.59868534210526314</v>
      </c>
      <c r="Z117" s="82">
        <v>10000</v>
      </c>
      <c r="AA117" s="52">
        <f t="shared" si="27"/>
        <v>0.69500086000000016</v>
      </c>
      <c r="AB117" s="111">
        <f t="shared" si="36"/>
        <v>4800</v>
      </c>
    </row>
    <row r="118" spans="1:33" ht="34.5" customHeight="1" x14ac:dyDescent="0.25">
      <c r="A118" s="40" t="s">
        <v>580</v>
      </c>
      <c r="B118" s="43" t="s">
        <v>381</v>
      </c>
      <c r="C118" s="42" t="s">
        <v>712</v>
      </c>
      <c r="D118" s="37">
        <v>2747.74</v>
      </c>
      <c r="E118" s="37">
        <f t="shared" si="37"/>
        <v>3049.9913999999999</v>
      </c>
      <c r="F118" s="35">
        <v>5200</v>
      </c>
      <c r="G118" s="36">
        <f t="shared" si="38"/>
        <v>0.41346319230769241</v>
      </c>
      <c r="H118" s="37">
        <v>10300</v>
      </c>
      <c r="I118" s="36">
        <f t="shared" si="43"/>
        <v>0.7038843300970874</v>
      </c>
      <c r="J118" s="37">
        <v>4500</v>
      </c>
      <c r="K118" s="36">
        <f t="shared" si="39"/>
        <v>0.32222413333333333</v>
      </c>
      <c r="L118" s="54">
        <v>4700</v>
      </c>
      <c r="M118" s="36">
        <f t="shared" si="40"/>
        <v>0.351065659574468</v>
      </c>
      <c r="N118" s="38">
        <v>2747.74</v>
      </c>
      <c r="O118" s="58">
        <f t="shared" si="41"/>
        <v>3049.9913999999999</v>
      </c>
      <c r="P118" s="86">
        <v>4500</v>
      </c>
      <c r="Q118" s="65">
        <f t="shared" si="42"/>
        <v>0.32222413333333333</v>
      </c>
      <c r="R118" s="144">
        <v>4700</v>
      </c>
      <c r="S118" s="97">
        <f t="shared" si="34"/>
        <v>0.351065659574468</v>
      </c>
      <c r="T118" s="135">
        <v>5200</v>
      </c>
      <c r="U118" s="52">
        <f t="shared" si="18"/>
        <v>0.41346319230769241</v>
      </c>
      <c r="V118" s="82">
        <v>6100</v>
      </c>
      <c r="W118" s="52">
        <f t="shared" si="25"/>
        <v>0.50000140983606556</v>
      </c>
      <c r="X118" s="82">
        <v>7600</v>
      </c>
      <c r="Y118" s="52">
        <f t="shared" si="26"/>
        <v>0.59868534210526314</v>
      </c>
      <c r="Z118" s="82">
        <v>10000</v>
      </c>
      <c r="AA118" s="52">
        <f t="shared" si="27"/>
        <v>0.69500086000000016</v>
      </c>
      <c r="AB118" s="111">
        <f t="shared" si="36"/>
        <v>4800</v>
      </c>
    </row>
    <row r="119" spans="1:33" ht="24.75" customHeight="1" x14ac:dyDescent="0.25">
      <c r="A119" s="40" t="s">
        <v>581</v>
      </c>
      <c r="B119" s="43" t="s">
        <v>173</v>
      </c>
      <c r="C119" s="42">
        <v>90101111201300</v>
      </c>
      <c r="D119" s="37">
        <v>1531.53</v>
      </c>
      <c r="E119" s="37">
        <f t="shared" si="37"/>
        <v>1699.9983</v>
      </c>
      <c r="F119" s="35">
        <v>2900</v>
      </c>
      <c r="G119" s="36">
        <f t="shared" si="38"/>
        <v>0.41379368965517238</v>
      </c>
      <c r="H119" s="37">
        <v>5700</v>
      </c>
      <c r="I119" s="36">
        <f t="shared" si="43"/>
        <v>0.70175468421052645</v>
      </c>
      <c r="J119" s="37">
        <v>2999</v>
      </c>
      <c r="K119" s="36">
        <f t="shared" si="39"/>
        <v>0.43314494831610534</v>
      </c>
      <c r="L119" s="54">
        <v>2600</v>
      </c>
      <c r="M119" s="36">
        <f t="shared" si="40"/>
        <v>0.34615450000000003</v>
      </c>
      <c r="N119" s="38">
        <v>1531.55</v>
      </c>
      <c r="O119" s="58">
        <f>(N119*11%)+N119</f>
        <v>1700.0204999999999</v>
      </c>
      <c r="P119" s="127">
        <v>3099</v>
      </c>
      <c r="Q119" s="65">
        <f t="shared" si="42"/>
        <v>0.45142933204259433</v>
      </c>
      <c r="R119" s="144">
        <v>3099</v>
      </c>
      <c r="S119" s="97">
        <f t="shared" si="34"/>
        <v>0.45142933204259433</v>
      </c>
      <c r="T119" s="135">
        <v>3285</v>
      </c>
      <c r="U119" s="52">
        <f t="shared" si="18"/>
        <v>0.48248995433789948</v>
      </c>
      <c r="V119" s="82">
        <v>3400</v>
      </c>
      <c r="W119" s="52">
        <f t="shared" si="25"/>
        <v>0.49999397058823519</v>
      </c>
      <c r="X119" s="82">
        <v>4200</v>
      </c>
      <c r="Y119" s="52">
        <f t="shared" si="26"/>
        <v>0.59523321428571419</v>
      </c>
      <c r="Z119" s="82">
        <v>5600</v>
      </c>
      <c r="AA119" s="52">
        <f t="shared" si="27"/>
        <v>0.69642491071428569</v>
      </c>
      <c r="AB119" s="111">
        <f t="shared" si="36"/>
        <v>3299</v>
      </c>
    </row>
    <row r="120" spans="1:33" ht="27" customHeight="1" x14ac:dyDescent="0.25">
      <c r="A120" s="40" t="s">
        <v>582</v>
      </c>
      <c r="B120" s="43" t="s">
        <v>713</v>
      </c>
      <c r="C120" s="42">
        <v>8992775002391</v>
      </c>
      <c r="D120" s="37">
        <v>1531.53</v>
      </c>
      <c r="E120" s="37">
        <f t="shared" si="37"/>
        <v>1699.9983</v>
      </c>
      <c r="F120" s="35">
        <v>2900</v>
      </c>
      <c r="G120" s="36">
        <f t="shared" si="38"/>
        <v>0.41379368965517238</v>
      </c>
      <c r="H120" s="37">
        <v>5700</v>
      </c>
      <c r="I120" s="36">
        <f t="shared" si="43"/>
        <v>0.70175468421052645</v>
      </c>
      <c r="J120" s="37">
        <v>2999</v>
      </c>
      <c r="K120" s="36">
        <f t="shared" si="39"/>
        <v>0.43314494831610534</v>
      </c>
      <c r="L120" s="54">
        <v>2600</v>
      </c>
      <c r="M120" s="36">
        <f t="shared" si="40"/>
        <v>0.34615450000000003</v>
      </c>
      <c r="N120" s="38">
        <v>1531.53</v>
      </c>
      <c r="O120" s="58">
        <f>(N120*11%)+N120</f>
        <v>1699.9983</v>
      </c>
      <c r="P120" s="127">
        <v>3099</v>
      </c>
      <c r="Q120" s="65">
        <f t="shared" si="42"/>
        <v>0.45143649564375599</v>
      </c>
      <c r="R120" s="125">
        <v>3099</v>
      </c>
      <c r="S120" s="97">
        <f t="shared" si="34"/>
        <v>0.45143649564375599</v>
      </c>
      <c r="T120" s="135">
        <v>3285</v>
      </c>
      <c r="U120" s="52">
        <f t="shared" si="18"/>
        <v>0.48249671232876706</v>
      </c>
      <c r="V120" s="82">
        <v>3400</v>
      </c>
      <c r="W120" s="52">
        <f t="shared" si="25"/>
        <v>0.50000049999999996</v>
      </c>
      <c r="X120" s="82">
        <v>4200</v>
      </c>
      <c r="Y120" s="52">
        <f t="shared" si="26"/>
        <v>0.5952385</v>
      </c>
      <c r="Z120" s="82">
        <v>5600</v>
      </c>
      <c r="AA120" s="52">
        <f t="shared" si="27"/>
        <v>0.69642887499999995</v>
      </c>
      <c r="AB120" s="111">
        <f t="shared" si="36"/>
        <v>3299</v>
      </c>
    </row>
    <row r="121" spans="1:33" ht="24.75" customHeight="1" x14ac:dyDescent="0.25">
      <c r="A121" s="40" t="s">
        <v>583</v>
      </c>
      <c r="B121" s="43" t="s">
        <v>116</v>
      </c>
      <c r="C121" s="42">
        <v>8992753700905</v>
      </c>
      <c r="D121" s="37">
        <v>4572</v>
      </c>
      <c r="E121" s="37">
        <f t="shared" ref="E121:E130" si="44">(D121*11%)+D121</f>
        <v>5074.92</v>
      </c>
      <c r="F121" s="35">
        <v>8600</v>
      </c>
      <c r="G121" s="36">
        <f t="shared" ref="G121:G138" si="45">(F121/1.11-D121)/F121*1.11</f>
        <v>0.40989302325581389</v>
      </c>
      <c r="H121" s="37">
        <v>17200</v>
      </c>
      <c r="I121" s="36">
        <f t="shared" si="43"/>
        <v>0.70494651162790689</v>
      </c>
      <c r="J121" s="37">
        <v>8100</v>
      </c>
      <c r="K121" s="36">
        <f t="shared" ref="K121:K138" si="46">(J121/1.11-D121)/J121*1.11</f>
        <v>0.37346666666666661</v>
      </c>
      <c r="L121" s="54">
        <v>7800</v>
      </c>
      <c r="M121" s="36">
        <f t="shared" ref="M121:M138" si="47">(L121/1.11-D121)/L121*1.11</f>
        <v>0.34936923076923077</v>
      </c>
      <c r="N121" s="38">
        <v>4943</v>
      </c>
      <c r="O121" s="58">
        <f t="shared" ref="O121:O138" si="48">(N121*11%)+N121</f>
        <v>5486.73</v>
      </c>
      <c r="P121" s="86">
        <v>8100</v>
      </c>
      <c r="Q121" s="65">
        <f t="shared" si="42"/>
        <v>0.32262592592592587</v>
      </c>
      <c r="R121" s="144">
        <v>8400</v>
      </c>
      <c r="S121" s="97">
        <f t="shared" si="34"/>
        <v>0.34681785714285707</v>
      </c>
      <c r="T121" s="135">
        <v>9300</v>
      </c>
      <c r="U121" s="52">
        <f t="shared" si="18"/>
        <v>0.41002903225806453</v>
      </c>
      <c r="V121" s="82">
        <v>11000</v>
      </c>
      <c r="W121" s="52">
        <f t="shared" si="25"/>
        <v>0.50120636363636362</v>
      </c>
      <c r="X121" s="82">
        <v>13600</v>
      </c>
      <c r="Y121" s="52">
        <f t="shared" si="26"/>
        <v>0.59656397058823518</v>
      </c>
      <c r="Z121" s="82">
        <v>18000</v>
      </c>
      <c r="AA121" s="52">
        <f t="shared" si="27"/>
        <v>0.69518166666666659</v>
      </c>
      <c r="AB121" s="111">
        <f t="shared" si="36"/>
        <v>8400</v>
      </c>
    </row>
    <row r="122" spans="1:33" ht="22.5" customHeight="1" x14ac:dyDescent="0.25">
      <c r="A122" s="40" t="s">
        <v>584</v>
      </c>
      <c r="B122" s="43" t="s">
        <v>181</v>
      </c>
      <c r="C122" s="42">
        <v>8992753033737</v>
      </c>
      <c r="D122" s="37">
        <v>4943</v>
      </c>
      <c r="E122" s="37">
        <f t="shared" si="44"/>
        <v>5486.73</v>
      </c>
      <c r="F122" s="35">
        <v>9300</v>
      </c>
      <c r="G122" s="36">
        <f t="shared" si="45"/>
        <v>0.41002903225806453</v>
      </c>
      <c r="H122" s="37">
        <v>18500</v>
      </c>
      <c r="I122" s="36">
        <f t="shared" si="43"/>
        <v>0.70341999999999993</v>
      </c>
      <c r="J122" s="37">
        <v>7000</v>
      </c>
      <c r="K122" s="36">
        <f t="shared" si="46"/>
        <v>0.21618142857142847</v>
      </c>
      <c r="L122" s="54">
        <v>8500</v>
      </c>
      <c r="M122" s="36">
        <f t="shared" si="47"/>
        <v>0.35450235294117644</v>
      </c>
      <c r="N122" s="38">
        <v>4943.3100000000004</v>
      </c>
      <c r="O122" s="58">
        <f t="shared" si="48"/>
        <v>5487.0741000000007</v>
      </c>
      <c r="P122" s="86">
        <v>7700</v>
      </c>
      <c r="Q122" s="65">
        <f t="shared" si="42"/>
        <v>0.28739297402597386</v>
      </c>
      <c r="R122" s="144">
        <v>8400</v>
      </c>
      <c r="S122" s="97">
        <f t="shared" si="34"/>
        <v>0.34677689285714269</v>
      </c>
      <c r="T122" s="135">
        <v>9300</v>
      </c>
      <c r="U122" s="52">
        <f t="shared" si="18"/>
        <v>0.40999203225806452</v>
      </c>
      <c r="V122" s="82">
        <v>11000</v>
      </c>
      <c r="W122" s="52">
        <f t="shared" si="25"/>
        <v>0.50117508181818171</v>
      </c>
      <c r="X122" s="82">
        <v>13600</v>
      </c>
      <c r="Y122" s="52">
        <f t="shared" si="26"/>
        <v>0.59653866911764697</v>
      </c>
      <c r="Z122" s="82">
        <v>18000</v>
      </c>
      <c r="AA122" s="52">
        <f t="shared" si="27"/>
        <v>0.69516255000000005</v>
      </c>
      <c r="AB122" s="111">
        <f t="shared" si="36"/>
        <v>7300</v>
      </c>
    </row>
    <row r="123" spans="1:33" ht="23.25" customHeight="1" x14ac:dyDescent="0.25">
      <c r="A123" s="40" t="s">
        <v>585</v>
      </c>
      <c r="B123" s="43" t="s">
        <v>58</v>
      </c>
      <c r="C123" s="42">
        <v>8992753033744</v>
      </c>
      <c r="D123" s="33">
        <v>4943.33</v>
      </c>
      <c r="E123" s="37">
        <f t="shared" si="44"/>
        <v>5487.0963000000002</v>
      </c>
      <c r="F123" s="35">
        <v>9300</v>
      </c>
      <c r="G123" s="36">
        <f t="shared" si="45"/>
        <v>0.40998964516129038</v>
      </c>
      <c r="H123" s="37">
        <v>18600</v>
      </c>
      <c r="I123" s="36">
        <f t="shared" si="43"/>
        <v>0.70499482258064528</v>
      </c>
      <c r="J123" s="37">
        <v>7000</v>
      </c>
      <c r="K123" s="36">
        <f t="shared" si="46"/>
        <v>0.21612909999999991</v>
      </c>
      <c r="L123" s="54">
        <v>8400</v>
      </c>
      <c r="M123" s="36">
        <f t="shared" si="47"/>
        <v>0.3467742499999999</v>
      </c>
      <c r="N123" s="38">
        <v>4943</v>
      </c>
      <c r="O123" s="58">
        <f t="shared" si="48"/>
        <v>5486.73</v>
      </c>
      <c r="P123" s="86">
        <v>7700</v>
      </c>
      <c r="Q123" s="65">
        <f t="shared" si="42"/>
        <v>0.28743766233766221</v>
      </c>
      <c r="R123" s="144">
        <v>8400</v>
      </c>
      <c r="S123" s="97">
        <f t="shared" si="34"/>
        <v>0.34681785714285707</v>
      </c>
      <c r="T123" s="135">
        <v>9300</v>
      </c>
      <c r="U123" s="52">
        <f t="shared" si="18"/>
        <v>0.41002903225806453</v>
      </c>
      <c r="V123" s="82">
        <v>11000</v>
      </c>
      <c r="W123" s="52">
        <f t="shared" si="25"/>
        <v>0.50120636363636362</v>
      </c>
      <c r="X123" s="82">
        <v>13600</v>
      </c>
      <c r="Y123" s="52">
        <f t="shared" si="26"/>
        <v>0.59656397058823518</v>
      </c>
      <c r="Z123" s="82">
        <v>18000</v>
      </c>
      <c r="AA123" s="52">
        <f t="shared" si="27"/>
        <v>0.69518166666666659</v>
      </c>
      <c r="AB123" s="111">
        <f t="shared" si="36"/>
        <v>7300</v>
      </c>
    </row>
    <row r="124" spans="1:33" ht="30.75" customHeight="1" x14ac:dyDescent="0.25">
      <c r="A124" s="40" t="s">
        <v>586</v>
      </c>
      <c r="B124" s="43" t="s">
        <v>59</v>
      </c>
      <c r="C124" s="42">
        <v>8992753033720</v>
      </c>
      <c r="D124" s="33">
        <v>4943.33</v>
      </c>
      <c r="E124" s="37">
        <f t="shared" si="44"/>
        <v>5487.0963000000002</v>
      </c>
      <c r="F124" s="35">
        <v>9300</v>
      </c>
      <c r="G124" s="36">
        <f t="shared" si="45"/>
        <v>0.40998964516129038</v>
      </c>
      <c r="H124" s="37">
        <v>18600</v>
      </c>
      <c r="I124" s="36">
        <f t="shared" si="43"/>
        <v>0.70499482258064528</v>
      </c>
      <c r="J124" s="37">
        <v>7000</v>
      </c>
      <c r="K124" s="36">
        <f t="shared" si="46"/>
        <v>0.21612909999999991</v>
      </c>
      <c r="L124" s="54">
        <v>8400</v>
      </c>
      <c r="M124" s="36">
        <f t="shared" si="47"/>
        <v>0.3467742499999999</v>
      </c>
      <c r="N124" s="38">
        <v>4943</v>
      </c>
      <c r="O124" s="58">
        <f t="shared" si="48"/>
        <v>5486.73</v>
      </c>
      <c r="P124" s="86">
        <v>7700</v>
      </c>
      <c r="Q124" s="65">
        <f t="shared" si="42"/>
        <v>0.28743766233766221</v>
      </c>
      <c r="R124" s="144">
        <v>8400</v>
      </c>
      <c r="S124" s="97">
        <f t="shared" si="34"/>
        <v>0.34681785714285707</v>
      </c>
      <c r="T124" s="135">
        <v>9300</v>
      </c>
      <c r="U124" s="52">
        <f t="shared" ref="U124:U175" si="49">(T124/1.11-N124)/T124*1.11</f>
        <v>0.41002903225806453</v>
      </c>
      <c r="V124" s="82">
        <v>11000</v>
      </c>
      <c r="W124" s="52">
        <f t="shared" si="25"/>
        <v>0.50120636363636362</v>
      </c>
      <c r="X124" s="82">
        <v>13600</v>
      </c>
      <c r="Y124" s="52">
        <f t="shared" si="26"/>
        <v>0.59656397058823518</v>
      </c>
      <c r="Z124" s="82">
        <v>18000</v>
      </c>
      <c r="AA124" s="52">
        <f t="shared" si="27"/>
        <v>0.69518166666666659</v>
      </c>
      <c r="AB124" s="111">
        <f t="shared" si="36"/>
        <v>7300</v>
      </c>
    </row>
    <row r="125" spans="1:33" ht="27.75" customHeight="1" x14ac:dyDescent="0.25">
      <c r="A125" s="40" t="s">
        <v>587</v>
      </c>
      <c r="B125" s="43" t="s">
        <v>224</v>
      </c>
      <c r="C125" s="47" t="s">
        <v>714</v>
      </c>
      <c r="D125" s="37">
        <v>4766</v>
      </c>
      <c r="E125" s="37">
        <f t="shared" si="44"/>
        <v>5290.26</v>
      </c>
      <c r="F125" s="35">
        <v>9000</v>
      </c>
      <c r="G125" s="36">
        <f t="shared" si="45"/>
        <v>0.41219333333333324</v>
      </c>
      <c r="H125" s="37">
        <v>17900</v>
      </c>
      <c r="I125" s="36">
        <f t="shared" si="43"/>
        <v>0.70445474860335189</v>
      </c>
      <c r="J125" s="37">
        <v>7000</v>
      </c>
      <c r="K125" s="36">
        <f t="shared" si="46"/>
        <v>0.24424857142857131</v>
      </c>
      <c r="L125" s="54">
        <v>8200</v>
      </c>
      <c r="M125" s="36">
        <f t="shared" si="47"/>
        <v>0.35484634146341454</v>
      </c>
      <c r="N125" s="38">
        <v>3525.2249999999999</v>
      </c>
      <c r="O125" s="68">
        <f t="shared" si="48"/>
        <v>3912.9997499999999</v>
      </c>
      <c r="P125" s="126">
        <v>7000</v>
      </c>
      <c r="Q125" s="65">
        <f t="shared" si="42"/>
        <v>0.44100003571428564</v>
      </c>
      <c r="R125" s="82">
        <v>7000</v>
      </c>
      <c r="S125" s="97">
        <f t="shared" ref="S125:S175" si="50">(R125/1.11-N125)/R125*1.11</f>
        <v>0.44100003571428564</v>
      </c>
      <c r="T125" s="135">
        <v>9000</v>
      </c>
      <c r="U125" s="52">
        <f t="shared" si="49"/>
        <v>0.56522225000000004</v>
      </c>
      <c r="V125" s="82">
        <v>9000</v>
      </c>
      <c r="W125" s="52">
        <f t="shared" ref="W125:W175" si="51">(V125/1.11-N125)/V125*1.11</f>
        <v>0.56522225000000004</v>
      </c>
      <c r="X125" s="82">
        <v>9800</v>
      </c>
      <c r="Y125" s="52">
        <f t="shared" ref="Y125:Y175" si="52">(X125/1.11-N125)/X125*1.11</f>
        <v>0.60071431122448971</v>
      </c>
      <c r="Z125" s="82">
        <v>13000</v>
      </c>
      <c r="AA125" s="52">
        <f t="shared" ref="AA125:AA175" si="53">(Z125/1.11-N125)/Z125*1.11</f>
        <v>0.69900001923076915</v>
      </c>
      <c r="AB125" s="111">
        <f t="shared" si="36"/>
        <v>7300</v>
      </c>
    </row>
    <row r="126" spans="1:33" ht="27" customHeight="1" x14ac:dyDescent="0.25">
      <c r="A126" s="40" t="s">
        <v>588</v>
      </c>
      <c r="B126" s="43" t="s">
        <v>380</v>
      </c>
      <c r="C126" s="42">
        <v>8998866500708</v>
      </c>
      <c r="D126" s="37">
        <v>2378.38</v>
      </c>
      <c r="E126" s="37">
        <f t="shared" si="44"/>
        <v>2640.0018</v>
      </c>
      <c r="F126" s="35">
        <v>4500</v>
      </c>
      <c r="G126" s="36">
        <f t="shared" si="45"/>
        <v>0.41333293333333326</v>
      </c>
      <c r="H126" s="37">
        <v>8900</v>
      </c>
      <c r="I126" s="36">
        <f t="shared" si="43"/>
        <v>0.70337058426966292</v>
      </c>
      <c r="J126" s="37">
        <v>3600</v>
      </c>
      <c r="K126" s="36">
        <f t="shared" si="46"/>
        <v>0.26666616666666654</v>
      </c>
      <c r="L126" s="54">
        <v>4100</v>
      </c>
      <c r="M126" s="36">
        <f t="shared" si="47"/>
        <v>0.3560971219512194</v>
      </c>
      <c r="N126" s="38">
        <v>2387.3870000000002</v>
      </c>
      <c r="O126" s="58">
        <f t="shared" si="48"/>
        <v>2649.9995699999999</v>
      </c>
      <c r="P126" s="86">
        <v>3600</v>
      </c>
      <c r="Q126" s="65">
        <f t="shared" si="42"/>
        <v>0.26388900833333317</v>
      </c>
      <c r="R126" s="82">
        <v>4100</v>
      </c>
      <c r="S126" s="97">
        <f t="shared" si="50"/>
        <v>0.35365864146341447</v>
      </c>
      <c r="T126" s="135">
        <v>4500</v>
      </c>
      <c r="U126" s="52">
        <f t="shared" si="49"/>
        <v>0.41111120666666656</v>
      </c>
      <c r="V126" s="82">
        <v>5300</v>
      </c>
      <c r="W126" s="52">
        <f t="shared" si="51"/>
        <v>0.50000008113207539</v>
      </c>
      <c r="X126" s="82">
        <v>6700</v>
      </c>
      <c r="Y126" s="52">
        <f t="shared" si="52"/>
        <v>0.60447767611940295</v>
      </c>
      <c r="Z126" s="82">
        <v>8800</v>
      </c>
      <c r="AA126" s="52">
        <f t="shared" si="53"/>
        <v>0.6988636852272726</v>
      </c>
      <c r="AB126" s="111">
        <f t="shared" si="36"/>
        <v>3900</v>
      </c>
    </row>
    <row r="127" spans="1:33" ht="27" customHeight="1" x14ac:dyDescent="0.25">
      <c r="A127" s="40" t="s">
        <v>589</v>
      </c>
      <c r="B127" s="43" t="s">
        <v>349</v>
      </c>
      <c r="C127" s="42">
        <v>8998866202923</v>
      </c>
      <c r="D127" s="33">
        <v>2387.38</v>
      </c>
      <c r="E127" s="37">
        <f t="shared" si="44"/>
        <v>2649.9918000000002</v>
      </c>
      <c r="F127" s="35">
        <v>4500</v>
      </c>
      <c r="G127" s="36">
        <f t="shared" si="45"/>
        <v>0.41111293333333326</v>
      </c>
      <c r="H127" s="37">
        <v>8900</v>
      </c>
      <c r="I127" s="36">
        <f t="shared" si="43"/>
        <v>0.70224811235955054</v>
      </c>
      <c r="J127" s="37">
        <v>3600</v>
      </c>
      <c r="K127" s="36">
        <f t="shared" si="46"/>
        <v>0.26389116666666657</v>
      </c>
      <c r="L127" s="54">
        <v>4100</v>
      </c>
      <c r="M127" s="36">
        <f t="shared" si="47"/>
        <v>0.35366053658536573</v>
      </c>
      <c r="N127" s="38">
        <v>2387.38</v>
      </c>
      <c r="O127" s="68">
        <f t="shared" si="48"/>
        <v>2649.9918000000002</v>
      </c>
      <c r="P127" s="86">
        <v>3600</v>
      </c>
      <c r="Q127" s="65">
        <f t="shared" si="42"/>
        <v>0.26389116666666657</v>
      </c>
      <c r="R127" s="82">
        <v>4100</v>
      </c>
      <c r="S127" s="97">
        <f t="shared" si="50"/>
        <v>0.35366053658536573</v>
      </c>
      <c r="T127" s="135">
        <v>4500</v>
      </c>
      <c r="U127" s="52">
        <f t="shared" si="49"/>
        <v>0.41111293333333326</v>
      </c>
      <c r="V127" s="82">
        <v>5300</v>
      </c>
      <c r="W127" s="52">
        <f t="shared" si="51"/>
        <v>0.50000154716981127</v>
      </c>
      <c r="X127" s="82">
        <v>6700</v>
      </c>
      <c r="Y127" s="52">
        <f t="shared" si="52"/>
        <v>0.60447883582089545</v>
      </c>
      <c r="Z127" s="82">
        <v>8800</v>
      </c>
      <c r="AA127" s="52">
        <f t="shared" si="53"/>
        <v>0.69886456818181808</v>
      </c>
      <c r="AB127" s="111">
        <f t="shared" si="36"/>
        <v>3900</v>
      </c>
    </row>
    <row r="128" spans="1:33" ht="21.75" customHeight="1" x14ac:dyDescent="0.25">
      <c r="A128" s="40" t="s">
        <v>590</v>
      </c>
      <c r="B128" s="43" t="s">
        <v>207</v>
      </c>
      <c r="C128" s="47">
        <v>8996001600665</v>
      </c>
      <c r="D128" s="37">
        <v>3603.06</v>
      </c>
      <c r="E128" s="37">
        <f t="shared" si="44"/>
        <v>3999.3966</v>
      </c>
      <c r="F128" s="35">
        <v>6800</v>
      </c>
      <c r="G128" s="36">
        <f t="shared" si="45"/>
        <v>0.41185344117647049</v>
      </c>
      <c r="H128" s="37">
        <v>13500</v>
      </c>
      <c r="I128" s="36">
        <f t="shared" si="43"/>
        <v>0.70374840000000005</v>
      </c>
      <c r="J128" s="37">
        <v>6000</v>
      </c>
      <c r="K128" s="36">
        <f t="shared" si="46"/>
        <v>0.33343389999999995</v>
      </c>
      <c r="L128" s="54">
        <v>6200</v>
      </c>
      <c r="M128" s="36">
        <f t="shared" si="47"/>
        <v>0.35493603225806447</v>
      </c>
      <c r="N128" s="38">
        <v>3603.6</v>
      </c>
      <c r="O128" s="68">
        <f t="shared" si="48"/>
        <v>3999.9960000000001</v>
      </c>
      <c r="P128" s="127">
        <v>6000</v>
      </c>
      <c r="Q128" s="65">
        <f t="shared" si="42"/>
        <v>0.33333399999999996</v>
      </c>
      <c r="R128" s="82">
        <v>6200</v>
      </c>
      <c r="S128" s="97">
        <f t="shared" si="50"/>
        <v>0.35483935483870965</v>
      </c>
      <c r="T128" s="135">
        <v>7419</v>
      </c>
      <c r="U128" s="52">
        <f t="shared" si="49"/>
        <v>0.4608443186413263</v>
      </c>
      <c r="V128" s="82">
        <v>8000</v>
      </c>
      <c r="W128" s="52">
        <f t="shared" si="51"/>
        <v>0.50000050000000007</v>
      </c>
      <c r="X128" s="82">
        <v>10000</v>
      </c>
      <c r="Y128" s="52">
        <f t="shared" si="52"/>
        <v>0.6000004000000001</v>
      </c>
      <c r="Z128" s="82">
        <v>13500</v>
      </c>
      <c r="AA128" s="52">
        <f t="shared" si="53"/>
        <v>0.70370399999999989</v>
      </c>
      <c r="AB128" s="111">
        <f t="shared" si="36"/>
        <v>6300</v>
      </c>
    </row>
    <row r="129" spans="1:28" ht="25.5" customHeight="1" x14ac:dyDescent="0.25">
      <c r="A129" s="40" t="s">
        <v>591</v>
      </c>
      <c r="B129" s="48" t="s">
        <v>697</v>
      </c>
      <c r="C129" s="47">
        <v>8996001600641</v>
      </c>
      <c r="D129" s="37">
        <v>3153.15</v>
      </c>
      <c r="E129" s="37">
        <f t="shared" si="44"/>
        <v>3499.9965000000002</v>
      </c>
      <c r="F129" s="35">
        <v>5900</v>
      </c>
      <c r="G129" s="36">
        <f t="shared" si="45"/>
        <v>0.40678025423728814</v>
      </c>
      <c r="H129" s="37">
        <v>11800</v>
      </c>
      <c r="I129" s="36">
        <f t="shared" si="43"/>
        <v>0.70339012711864413</v>
      </c>
      <c r="J129" s="37">
        <v>5500</v>
      </c>
      <c r="K129" s="36">
        <f t="shared" si="46"/>
        <v>0.36363699999999993</v>
      </c>
      <c r="L129" s="54">
        <v>5400</v>
      </c>
      <c r="M129" s="36">
        <f t="shared" si="47"/>
        <v>0.35185249999999985</v>
      </c>
      <c r="N129" s="38">
        <v>3153.1529999999998</v>
      </c>
      <c r="O129" s="58">
        <f t="shared" si="48"/>
        <v>3499.9998299999997</v>
      </c>
      <c r="P129" s="127">
        <v>7000</v>
      </c>
      <c r="Q129" s="65">
        <f t="shared" si="42"/>
        <v>0.50000002428571422</v>
      </c>
      <c r="R129" s="84">
        <v>5400</v>
      </c>
      <c r="S129" s="139">
        <f t="shared" si="50"/>
        <v>0.35185188333333323</v>
      </c>
      <c r="T129" s="135">
        <v>7000</v>
      </c>
      <c r="U129" s="52">
        <f t="shared" si="49"/>
        <v>0.50000002428571422</v>
      </c>
      <c r="V129" s="82">
        <v>7000</v>
      </c>
      <c r="W129" s="52">
        <f t="shared" si="51"/>
        <v>0.50000002428571422</v>
      </c>
      <c r="X129" s="82">
        <v>8800</v>
      </c>
      <c r="Y129" s="52">
        <f t="shared" si="52"/>
        <v>0.60227274659090901</v>
      </c>
      <c r="Z129" s="82">
        <v>11800</v>
      </c>
      <c r="AA129" s="52">
        <f t="shared" si="53"/>
        <v>0.70338984491525436</v>
      </c>
      <c r="AB129" s="111">
        <f t="shared" si="36"/>
        <v>5800</v>
      </c>
    </row>
    <row r="130" spans="1:28" ht="26.25" customHeight="1" x14ac:dyDescent="0.25">
      <c r="A130" s="40" t="s">
        <v>592</v>
      </c>
      <c r="B130" s="48" t="s">
        <v>320</v>
      </c>
      <c r="C130" s="47">
        <v>8996001600665</v>
      </c>
      <c r="D130" s="37">
        <v>3603.06</v>
      </c>
      <c r="E130" s="37">
        <f t="shared" si="44"/>
        <v>3999.3966</v>
      </c>
      <c r="F130" s="35">
        <v>6800</v>
      </c>
      <c r="G130" s="36">
        <f t="shared" si="45"/>
        <v>0.41185344117647049</v>
      </c>
      <c r="H130" s="37">
        <v>13500</v>
      </c>
      <c r="I130" s="36">
        <f t="shared" si="43"/>
        <v>0.70374840000000005</v>
      </c>
      <c r="J130" s="37">
        <v>6000</v>
      </c>
      <c r="K130" s="36">
        <f t="shared" si="46"/>
        <v>0.33343389999999995</v>
      </c>
      <c r="L130" s="54">
        <v>6200</v>
      </c>
      <c r="M130" s="36">
        <f t="shared" si="47"/>
        <v>0.35493603225806447</v>
      </c>
      <c r="N130" s="38">
        <v>3603.6</v>
      </c>
      <c r="O130" s="68">
        <f t="shared" si="48"/>
        <v>3999.9960000000001</v>
      </c>
      <c r="P130" s="127">
        <v>6000</v>
      </c>
      <c r="Q130" s="65">
        <f t="shared" si="42"/>
        <v>0.33333399999999996</v>
      </c>
      <c r="R130" s="82">
        <v>6200</v>
      </c>
      <c r="S130" s="97">
        <f t="shared" si="50"/>
        <v>0.35483935483870965</v>
      </c>
      <c r="T130" s="136">
        <v>7419</v>
      </c>
      <c r="U130" s="52">
        <f t="shared" si="49"/>
        <v>0.4608443186413263</v>
      </c>
      <c r="V130" s="82">
        <v>8000</v>
      </c>
      <c r="W130" s="52">
        <f t="shared" si="51"/>
        <v>0.50000050000000007</v>
      </c>
      <c r="X130" s="82">
        <v>10000</v>
      </c>
      <c r="Y130" s="52">
        <f t="shared" si="52"/>
        <v>0.6000004000000001</v>
      </c>
      <c r="Z130" s="82">
        <v>13500</v>
      </c>
      <c r="AA130" s="52">
        <f t="shared" si="53"/>
        <v>0.70370399999999989</v>
      </c>
      <c r="AB130" s="111">
        <f t="shared" si="36"/>
        <v>6300</v>
      </c>
    </row>
    <row r="131" spans="1:28" ht="33" customHeight="1" x14ac:dyDescent="0.25">
      <c r="A131" s="40" t="s">
        <v>593</v>
      </c>
      <c r="B131" s="43" t="s">
        <v>341</v>
      </c>
      <c r="C131" s="42">
        <v>8992761002015</v>
      </c>
      <c r="D131" s="33">
        <v>4707.2</v>
      </c>
      <c r="E131" s="37" t="b">
        <f>O131=(D131*11%)+D131</f>
        <v>0</v>
      </c>
      <c r="F131" s="35">
        <v>8900</v>
      </c>
      <c r="G131" s="36">
        <f t="shared" si="45"/>
        <v>0.41292224719101128</v>
      </c>
      <c r="H131" s="37">
        <v>17600</v>
      </c>
      <c r="I131" s="36">
        <f t="shared" si="43"/>
        <v>0.7031254545454545</v>
      </c>
      <c r="J131" s="37">
        <v>6500</v>
      </c>
      <c r="K131" s="36">
        <f t="shared" si="46"/>
        <v>0.19615507692307688</v>
      </c>
      <c r="L131" s="54">
        <v>8100</v>
      </c>
      <c r="M131" s="36">
        <f t="shared" si="47"/>
        <v>0.35493925925925923</v>
      </c>
      <c r="N131" s="38">
        <v>4707</v>
      </c>
      <c r="O131" s="58">
        <f t="shared" si="48"/>
        <v>5224.7700000000004</v>
      </c>
      <c r="P131" s="129">
        <v>7000</v>
      </c>
      <c r="Q131" s="65">
        <f t="shared" si="42"/>
        <v>0.25360428571428562</v>
      </c>
      <c r="R131" s="82">
        <v>8000</v>
      </c>
      <c r="S131" s="97">
        <f t="shared" si="50"/>
        <v>0.34690375000000001</v>
      </c>
      <c r="T131" s="135">
        <v>8900</v>
      </c>
      <c r="U131" s="52">
        <f t="shared" si="49"/>
        <v>0.41294719101123595</v>
      </c>
      <c r="V131" s="82">
        <v>10400</v>
      </c>
      <c r="W131" s="52">
        <f t="shared" si="51"/>
        <v>0.49761826923076924</v>
      </c>
      <c r="X131" s="82">
        <v>13000</v>
      </c>
      <c r="Y131" s="52">
        <f t="shared" si="52"/>
        <v>0.59809461538461528</v>
      </c>
      <c r="Z131" s="82">
        <v>17500</v>
      </c>
      <c r="AA131" s="52">
        <f t="shared" si="53"/>
        <v>0.70144171428571411</v>
      </c>
      <c r="AB131" s="111">
        <f t="shared" si="36"/>
        <v>6800</v>
      </c>
    </row>
    <row r="132" spans="1:28" ht="30.75" customHeight="1" x14ac:dyDescent="0.25">
      <c r="A132" s="40" t="s">
        <v>594</v>
      </c>
      <c r="B132" s="41" t="s">
        <v>681</v>
      </c>
      <c r="C132" s="49" t="s">
        <v>321</v>
      </c>
      <c r="D132" s="37">
        <v>7135</v>
      </c>
      <c r="E132" s="37">
        <f t="shared" ref="E132:E138" si="54">(D132*11%)+D132</f>
        <v>7919.85</v>
      </c>
      <c r="F132" s="35">
        <v>13500</v>
      </c>
      <c r="G132" s="36">
        <f t="shared" si="45"/>
        <v>0.41334444444444446</v>
      </c>
      <c r="H132" s="37">
        <v>26800</v>
      </c>
      <c r="I132" s="36">
        <f t="shared" si="43"/>
        <v>0.70448320895522376</v>
      </c>
      <c r="J132" s="37">
        <v>9900</v>
      </c>
      <c r="K132" s="36">
        <f t="shared" si="46"/>
        <v>0.20001515151515145</v>
      </c>
      <c r="L132" s="54">
        <v>12200</v>
      </c>
      <c r="M132" s="36">
        <f t="shared" si="47"/>
        <v>0.3508319672131146</v>
      </c>
      <c r="N132" s="38">
        <v>6127</v>
      </c>
      <c r="O132" s="68">
        <f t="shared" si="48"/>
        <v>6800.97</v>
      </c>
      <c r="P132" s="86">
        <v>9999</v>
      </c>
      <c r="Q132" s="65">
        <f t="shared" si="42"/>
        <v>0.31983498349834966</v>
      </c>
      <c r="R132" s="82">
        <v>10500</v>
      </c>
      <c r="S132" s="97">
        <f t="shared" si="50"/>
        <v>0.35228857142857134</v>
      </c>
      <c r="T132" s="135">
        <v>11500</v>
      </c>
      <c r="U132" s="52">
        <f t="shared" si="49"/>
        <v>0.408611304347826</v>
      </c>
      <c r="V132" s="82">
        <v>13500</v>
      </c>
      <c r="W132" s="52">
        <f t="shared" si="51"/>
        <v>0.49622444444444447</v>
      </c>
      <c r="X132" s="82">
        <v>17000</v>
      </c>
      <c r="Y132" s="52">
        <f t="shared" si="52"/>
        <v>0.59994294117647062</v>
      </c>
      <c r="Z132" s="82">
        <v>23000</v>
      </c>
      <c r="AA132" s="52">
        <f t="shared" si="53"/>
        <v>0.70430565217391294</v>
      </c>
      <c r="AB132" s="111">
        <f t="shared" si="36"/>
        <v>10200</v>
      </c>
    </row>
    <row r="133" spans="1:28" ht="31.5" x14ac:dyDescent="0.25">
      <c r="A133" s="40" t="s">
        <v>595</v>
      </c>
      <c r="B133" s="41" t="s">
        <v>682</v>
      </c>
      <c r="C133" s="49" t="s">
        <v>322</v>
      </c>
      <c r="D133" s="37">
        <v>5045.04</v>
      </c>
      <c r="E133" s="37">
        <f t="shared" si="54"/>
        <v>5599.9943999999996</v>
      </c>
      <c r="F133" s="35">
        <v>9500</v>
      </c>
      <c r="G133" s="36">
        <f t="shared" si="45"/>
        <v>0.41052690526315783</v>
      </c>
      <c r="H133" s="37">
        <v>18900</v>
      </c>
      <c r="I133" s="36">
        <f t="shared" si="43"/>
        <v>0.70370399999999989</v>
      </c>
      <c r="J133" s="37">
        <v>7900</v>
      </c>
      <c r="K133" s="36">
        <f t="shared" si="46"/>
        <v>0.29113994936708854</v>
      </c>
      <c r="L133" s="54">
        <v>8600</v>
      </c>
      <c r="M133" s="36">
        <f t="shared" si="47"/>
        <v>0.34883786046511617</v>
      </c>
      <c r="N133" s="38">
        <v>6126.12</v>
      </c>
      <c r="O133" s="79">
        <f t="shared" si="48"/>
        <v>6799.9931999999999</v>
      </c>
      <c r="P133" s="86">
        <v>9900</v>
      </c>
      <c r="Q133" s="65">
        <f t="shared" si="42"/>
        <v>0.31313199999999997</v>
      </c>
      <c r="R133" s="82">
        <v>10500</v>
      </c>
      <c r="S133" s="97">
        <f t="shared" si="50"/>
        <v>0.35238159999999991</v>
      </c>
      <c r="T133" s="135">
        <v>11500</v>
      </c>
      <c r="U133" s="52">
        <f t="shared" si="49"/>
        <v>0.40869624347826078</v>
      </c>
      <c r="V133" s="82">
        <v>13500</v>
      </c>
      <c r="W133" s="52">
        <f t="shared" si="51"/>
        <v>0.49629679999999998</v>
      </c>
      <c r="X133" s="82">
        <v>17000</v>
      </c>
      <c r="Y133" s="52">
        <f t="shared" si="52"/>
        <v>0.6000004000000001</v>
      </c>
      <c r="Z133" s="82">
        <v>23000</v>
      </c>
      <c r="AA133" s="52">
        <f t="shared" si="53"/>
        <v>0.70434812173913042</v>
      </c>
      <c r="AB133" s="111">
        <f t="shared" si="36"/>
        <v>8200</v>
      </c>
    </row>
    <row r="134" spans="1:28" ht="33.75" customHeight="1" x14ac:dyDescent="0.25">
      <c r="A134" s="40" t="s">
        <v>678</v>
      </c>
      <c r="B134" s="41" t="s">
        <v>447</v>
      </c>
      <c r="C134" s="49" t="s">
        <v>323</v>
      </c>
      <c r="D134" s="37">
        <v>2772.72</v>
      </c>
      <c r="E134" s="37">
        <f t="shared" si="54"/>
        <v>3077.7191999999995</v>
      </c>
      <c r="F134" s="35">
        <v>5200</v>
      </c>
      <c r="G134" s="36">
        <f t="shared" si="45"/>
        <v>0.40813092307692317</v>
      </c>
      <c r="H134" s="37">
        <v>10400</v>
      </c>
      <c r="I134" s="36">
        <f t="shared" si="43"/>
        <v>0.70406546153846172</v>
      </c>
      <c r="J134" s="37">
        <v>5000</v>
      </c>
      <c r="K134" s="36">
        <f t="shared" si="46"/>
        <v>0.38445616000000005</v>
      </c>
      <c r="L134" s="54">
        <v>4700</v>
      </c>
      <c r="M134" s="36">
        <f t="shared" si="47"/>
        <v>0.34516612765957438</v>
      </c>
      <c r="N134" s="38">
        <v>2772.73</v>
      </c>
      <c r="O134" s="58">
        <f t="shared" si="48"/>
        <v>3077.7303000000002</v>
      </c>
      <c r="P134" s="127">
        <v>5499</v>
      </c>
      <c r="Q134" s="65">
        <f t="shared" si="42"/>
        <v>0.44031091107474074</v>
      </c>
      <c r="R134" s="82">
        <v>5499</v>
      </c>
      <c r="S134" s="97">
        <f t="shared" si="50"/>
        <v>0.44031091107474074</v>
      </c>
      <c r="T134" s="135">
        <v>5499</v>
      </c>
      <c r="U134" s="52">
        <f t="shared" si="49"/>
        <v>0.44031091107474074</v>
      </c>
      <c r="V134" s="82">
        <v>6100</v>
      </c>
      <c r="W134" s="52">
        <f t="shared" si="51"/>
        <v>0.4954540491803277</v>
      </c>
      <c r="X134" s="82">
        <v>7600</v>
      </c>
      <c r="Y134" s="52">
        <f t="shared" si="52"/>
        <v>0.59503548684210517</v>
      </c>
      <c r="Z134" s="82">
        <v>10400</v>
      </c>
      <c r="AA134" s="52">
        <f t="shared" si="53"/>
        <v>0.70406439423076927</v>
      </c>
      <c r="AB134" s="111">
        <f t="shared" si="36"/>
        <v>5300</v>
      </c>
    </row>
    <row r="135" spans="1:28" ht="23.25" customHeight="1" x14ac:dyDescent="0.25">
      <c r="A135" s="40" t="s">
        <v>596</v>
      </c>
      <c r="B135" s="41" t="s">
        <v>310</v>
      </c>
      <c r="C135" s="49" t="s">
        <v>326</v>
      </c>
      <c r="D135" s="37">
        <v>4735</v>
      </c>
      <c r="E135" s="37">
        <f t="shared" si="54"/>
        <v>5255.85</v>
      </c>
      <c r="F135" s="35">
        <v>8900</v>
      </c>
      <c r="G135" s="36">
        <f t="shared" si="45"/>
        <v>0.40945505617977523</v>
      </c>
      <c r="H135" s="37">
        <v>17800</v>
      </c>
      <c r="I135" s="36">
        <f t="shared" si="43"/>
        <v>0.70472752808988759</v>
      </c>
      <c r="J135" s="37">
        <v>7900</v>
      </c>
      <c r="K135" s="36">
        <f t="shared" si="46"/>
        <v>0.33470253164556951</v>
      </c>
      <c r="L135" s="54">
        <v>8100</v>
      </c>
      <c r="M135" s="36">
        <f t="shared" si="47"/>
        <v>0.35112962962962957</v>
      </c>
      <c r="N135" s="38">
        <v>6354</v>
      </c>
      <c r="O135" s="58">
        <f t="shared" si="48"/>
        <v>7052.9400000000005</v>
      </c>
      <c r="P135" s="129">
        <v>10900</v>
      </c>
      <c r="Q135" s="65">
        <f t="shared" si="42"/>
        <v>0.35294128440366968</v>
      </c>
      <c r="R135" s="82">
        <v>10800</v>
      </c>
      <c r="S135" s="97">
        <f t="shared" si="50"/>
        <v>0.34694999999999987</v>
      </c>
      <c r="T135" s="135">
        <v>12000</v>
      </c>
      <c r="U135" s="52">
        <f t="shared" si="49"/>
        <v>0.41225499999999998</v>
      </c>
      <c r="V135" s="82">
        <v>14000</v>
      </c>
      <c r="W135" s="52">
        <f t="shared" si="51"/>
        <v>0.49621857142857129</v>
      </c>
      <c r="X135" s="82">
        <v>17800</v>
      </c>
      <c r="Y135" s="52">
        <f t="shared" si="52"/>
        <v>0.6037674157303371</v>
      </c>
      <c r="Z135" s="82">
        <v>23500</v>
      </c>
      <c r="AA135" s="52">
        <f t="shared" si="53"/>
        <v>0.69987489361702127</v>
      </c>
      <c r="AB135" s="111">
        <f t="shared" ref="AB135:AB141" si="55">J135+300</f>
        <v>8200</v>
      </c>
    </row>
    <row r="136" spans="1:28" ht="30" customHeight="1" x14ac:dyDescent="0.25">
      <c r="A136" s="40" t="s">
        <v>597</v>
      </c>
      <c r="B136" s="43" t="s">
        <v>206</v>
      </c>
      <c r="C136" s="47">
        <v>8996001600856</v>
      </c>
      <c r="D136" s="37">
        <v>2702.75</v>
      </c>
      <c r="E136" s="37">
        <f t="shared" si="54"/>
        <v>3000.0524999999998</v>
      </c>
      <c r="F136" s="35">
        <v>5100</v>
      </c>
      <c r="G136" s="36">
        <f t="shared" si="45"/>
        <v>0.41175441176470579</v>
      </c>
      <c r="H136" s="37">
        <v>10100</v>
      </c>
      <c r="I136" s="36">
        <f t="shared" si="43"/>
        <v>0.7029650990099009</v>
      </c>
      <c r="J136" s="37">
        <v>4000</v>
      </c>
      <c r="K136" s="36">
        <f t="shared" si="46"/>
        <v>0.24998687499999997</v>
      </c>
      <c r="L136" s="54">
        <v>4600</v>
      </c>
      <c r="M136" s="36">
        <f t="shared" si="47"/>
        <v>0.34781467391304349</v>
      </c>
      <c r="N136" s="38">
        <v>2702.7</v>
      </c>
      <c r="O136" s="68">
        <f t="shared" si="48"/>
        <v>2999.9969999999998</v>
      </c>
      <c r="P136" s="127">
        <v>4000</v>
      </c>
      <c r="Q136" s="65">
        <f t="shared" si="42"/>
        <v>0.25000075000000005</v>
      </c>
      <c r="R136" s="82">
        <v>4600</v>
      </c>
      <c r="S136" s="97">
        <f t="shared" si="50"/>
        <v>0.34782673913043477</v>
      </c>
      <c r="T136" s="136">
        <v>5100</v>
      </c>
      <c r="U136" s="52">
        <f t="shared" si="49"/>
        <v>0.41176529411764701</v>
      </c>
      <c r="V136" s="82">
        <v>6000</v>
      </c>
      <c r="W136" s="52">
        <f t="shared" si="51"/>
        <v>0.50000049999999996</v>
      </c>
      <c r="X136" s="82">
        <v>7500</v>
      </c>
      <c r="Y136" s="52">
        <f t="shared" si="52"/>
        <v>0.60000039999999988</v>
      </c>
      <c r="Z136" s="82">
        <v>10000</v>
      </c>
      <c r="AA136" s="52">
        <f t="shared" si="53"/>
        <v>0.70000030000000002</v>
      </c>
      <c r="AB136" s="111">
        <f t="shared" si="55"/>
        <v>4300</v>
      </c>
    </row>
    <row r="137" spans="1:28" ht="33.75" customHeight="1" x14ac:dyDescent="0.25">
      <c r="A137" s="40" t="s">
        <v>598</v>
      </c>
      <c r="B137" s="43" t="s">
        <v>345</v>
      </c>
      <c r="C137" s="42">
        <v>8996001355756</v>
      </c>
      <c r="D137" s="33">
        <v>3369.3</v>
      </c>
      <c r="E137" s="37">
        <f t="shared" si="54"/>
        <v>3739.9230000000002</v>
      </c>
      <c r="F137" s="35">
        <v>6500</v>
      </c>
      <c r="G137" s="36">
        <f t="shared" si="45"/>
        <v>0.4246272307692307</v>
      </c>
      <c r="H137" s="37">
        <v>13800</v>
      </c>
      <c r="I137" s="36">
        <f t="shared" si="43"/>
        <v>0.72899108695652159</v>
      </c>
      <c r="J137" s="37">
        <v>5900</v>
      </c>
      <c r="K137" s="36">
        <f t="shared" si="46"/>
        <v>0.36611474576271186</v>
      </c>
      <c r="L137" s="54">
        <v>5800</v>
      </c>
      <c r="M137" s="36">
        <f t="shared" si="47"/>
        <v>0.35518568965517228</v>
      </c>
      <c r="N137" s="124">
        <v>3063</v>
      </c>
      <c r="O137" s="58">
        <f t="shared" si="48"/>
        <v>3399.93</v>
      </c>
      <c r="P137" s="86">
        <v>6700</v>
      </c>
      <c r="Q137" s="65">
        <f t="shared" si="42"/>
        <v>0.49254776119402982</v>
      </c>
      <c r="R137" s="82">
        <v>6700</v>
      </c>
      <c r="S137" s="97">
        <f t="shared" si="50"/>
        <v>0.49254776119402982</v>
      </c>
      <c r="T137" s="136">
        <v>6700</v>
      </c>
      <c r="U137" s="52">
        <f t="shared" si="49"/>
        <v>0.49254776119402982</v>
      </c>
      <c r="V137" s="82">
        <v>6800</v>
      </c>
      <c r="W137" s="52">
        <f t="shared" si="51"/>
        <v>0.50001029411764697</v>
      </c>
      <c r="X137" s="82">
        <v>8400</v>
      </c>
      <c r="Y137" s="52">
        <f t="shared" si="52"/>
        <v>0.59524642857142851</v>
      </c>
      <c r="Z137" s="82">
        <v>11500</v>
      </c>
      <c r="AA137" s="52">
        <f t="shared" si="53"/>
        <v>0.70435391304347805</v>
      </c>
      <c r="AB137" s="111">
        <f t="shared" si="55"/>
        <v>6200</v>
      </c>
    </row>
    <row r="138" spans="1:28" ht="35.25" customHeight="1" x14ac:dyDescent="0.25">
      <c r="A138" s="40" t="s">
        <v>599</v>
      </c>
      <c r="B138" s="75" t="s">
        <v>356</v>
      </c>
      <c r="C138" s="49" t="s">
        <v>401</v>
      </c>
      <c r="D138" s="37">
        <v>2917.12</v>
      </c>
      <c r="E138" s="37">
        <f t="shared" si="54"/>
        <v>3238.0032000000001</v>
      </c>
      <c r="F138" s="35">
        <v>5500</v>
      </c>
      <c r="G138" s="36">
        <f t="shared" si="45"/>
        <v>0.41127214545454543</v>
      </c>
      <c r="H138" s="33">
        <v>10900</v>
      </c>
      <c r="I138" s="36">
        <f t="shared" si="43"/>
        <v>0.70293548623853208</v>
      </c>
      <c r="J138" s="37">
        <v>4800</v>
      </c>
      <c r="K138" s="36">
        <f t="shared" si="46"/>
        <v>0.32541600000000004</v>
      </c>
      <c r="L138" s="54">
        <v>5000</v>
      </c>
      <c r="M138" s="36">
        <f t="shared" si="47"/>
        <v>0.35239936000000005</v>
      </c>
      <c r="N138" s="38">
        <v>3584</v>
      </c>
      <c r="O138" s="58">
        <f t="shared" si="48"/>
        <v>3978.24</v>
      </c>
      <c r="P138" s="86">
        <v>5500</v>
      </c>
      <c r="Q138" s="65">
        <f t="shared" si="42"/>
        <v>0.2766836363636363</v>
      </c>
      <c r="R138" s="95">
        <v>6100</v>
      </c>
      <c r="S138" s="97">
        <f t="shared" si="50"/>
        <v>0.34782950819672115</v>
      </c>
      <c r="T138" s="136">
        <v>6800</v>
      </c>
      <c r="U138" s="52">
        <f t="shared" si="49"/>
        <v>0.41496470588235285</v>
      </c>
      <c r="V138" s="106">
        <v>7900</v>
      </c>
      <c r="W138" s="52">
        <f t="shared" si="51"/>
        <v>0.49642531645569615</v>
      </c>
      <c r="X138" s="82">
        <v>10000</v>
      </c>
      <c r="Y138" s="52">
        <f t="shared" si="52"/>
        <v>0.60217600000000004</v>
      </c>
      <c r="Z138" s="82">
        <v>13400</v>
      </c>
      <c r="AA138" s="52">
        <f t="shared" si="53"/>
        <v>0.70311641791044766</v>
      </c>
      <c r="AB138" s="111">
        <f t="shared" si="55"/>
        <v>5100</v>
      </c>
    </row>
    <row r="139" spans="1:28" ht="34.5" customHeight="1" x14ac:dyDescent="0.25">
      <c r="A139" s="40" t="s">
        <v>600</v>
      </c>
      <c r="B139" s="43" t="s">
        <v>223</v>
      </c>
      <c r="C139" s="47">
        <v>8991002122000</v>
      </c>
      <c r="D139" s="37">
        <v>2965.77</v>
      </c>
      <c r="E139" s="37">
        <f t="shared" ref="E139:E149" si="56">(D139*11%)+D139</f>
        <v>3292.0047</v>
      </c>
      <c r="F139" s="35">
        <v>5600</v>
      </c>
      <c r="G139" s="36">
        <f t="shared" ref="G139:G146" si="57">(F139/1.11-D139)/F139*1.11</f>
        <v>0.41214201785714277</v>
      </c>
      <c r="H139" s="37">
        <v>11100</v>
      </c>
      <c r="I139" s="36">
        <f t="shared" ref="I139:I149" si="58">(H139/1.11-D139)/H139*1.11</f>
        <v>0.70342300000000002</v>
      </c>
      <c r="J139" s="37">
        <v>4900</v>
      </c>
      <c r="K139" s="36">
        <f t="shared" ref="K139:K146" si="59">(J139/1.11-D139)/J139*1.11</f>
        <v>0.32816230612244884</v>
      </c>
      <c r="L139" s="54">
        <v>5100</v>
      </c>
      <c r="M139" s="36">
        <f t="shared" ref="M139:M146" si="60">(L139/1.11-D139)/L139*1.11</f>
        <v>0.35450888235294109</v>
      </c>
      <c r="N139" s="38">
        <v>2965.7649999999999</v>
      </c>
      <c r="O139" s="58">
        <f t="shared" ref="O139:O146" si="61">(N139*11%)+N139</f>
        <v>3291.9991499999996</v>
      </c>
      <c r="P139" s="86">
        <v>4900</v>
      </c>
      <c r="Q139" s="65">
        <f t="shared" si="42"/>
        <v>0.32816343877551013</v>
      </c>
      <c r="R139" s="82">
        <v>5100</v>
      </c>
      <c r="S139" s="97">
        <f t="shared" si="50"/>
        <v>0.35450997058823525</v>
      </c>
      <c r="T139" s="136">
        <v>5600</v>
      </c>
      <c r="U139" s="52">
        <f t="shared" si="49"/>
        <v>0.41214300892857136</v>
      </c>
      <c r="V139" s="82">
        <v>6600</v>
      </c>
      <c r="W139" s="52">
        <f t="shared" si="51"/>
        <v>0.50121225000000003</v>
      </c>
      <c r="X139" s="82">
        <v>8200</v>
      </c>
      <c r="Y139" s="52">
        <f t="shared" si="52"/>
        <v>0.59853668902439017</v>
      </c>
      <c r="Z139" s="82">
        <v>11000</v>
      </c>
      <c r="AA139" s="52">
        <f t="shared" si="53"/>
        <v>0.70072734999999997</v>
      </c>
      <c r="AB139" s="111">
        <f t="shared" si="55"/>
        <v>5200</v>
      </c>
    </row>
    <row r="140" spans="1:28" ht="33" customHeight="1" x14ac:dyDescent="0.25">
      <c r="A140" s="40" t="s">
        <v>658</v>
      </c>
      <c r="B140" s="41" t="s">
        <v>448</v>
      </c>
      <c r="C140" s="39" t="s">
        <v>410</v>
      </c>
      <c r="D140" s="33">
        <v>10455</v>
      </c>
      <c r="E140" s="33">
        <f t="shared" si="56"/>
        <v>11605.05</v>
      </c>
      <c r="F140" s="33">
        <v>17999</v>
      </c>
      <c r="G140" s="36">
        <f t="shared" si="57"/>
        <v>0.35523917995444187</v>
      </c>
      <c r="H140" s="33">
        <v>39000</v>
      </c>
      <c r="I140" s="36">
        <f t="shared" si="58"/>
        <v>0.70243461538461538</v>
      </c>
      <c r="J140" s="33">
        <v>15000</v>
      </c>
      <c r="K140" s="36">
        <f t="shared" si="59"/>
        <v>0.22632999999999986</v>
      </c>
      <c r="L140" s="33">
        <v>18000</v>
      </c>
      <c r="M140" s="36">
        <f t="shared" si="60"/>
        <v>0.35527499999999995</v>
      </c>
      <c r="N140" s="38">
        <v>11006</v>
      </c>
      <c r="O140" s="68">
        <f t="shared" si="61"/>
        <v>12216.66</v>
      </c>
      <c r="P140" s="86">
        <v>16500</v>
      </c>
      <c r="Q140" s="65">
        <f t="shared" ref="Q140:Q145" si="62">(P140/1.11-N140)/P140*1.11</f>
        <v>0.25959636363636357</v>
      </c>
      <c r="R140" s="82">
        <v>18700</v>
      </c>
      <c r="S140" s="97">
        <f t="shared" si="50"/>
        <v>0.34670267379679143</v>
      </c>
      <c r="T140" s="135">
        <v>20600</v>
      </c>
      <c r="U140" s="52">
        <f t="shared" si="49"/>
        <v>0.40695825242718447</v>
      </c>
      <c r="V140" s="82">
        <v>24200</v>
      </c>
      <c r="W140" s="52">
        <f t="shared" si="51"/>
        <v>0.49517933884297521</v>
      </c>
      <c r="X140" s="82">
        <v>30200</v>
      </c>
      <c r="Y140" s="52">
        <f t="shared" si="52"/>
        <v>0.59547483443708604</v>
      </c>
      <c r="Z140" s="82">
        <v>40200</v>
      </c>
      <c r="AA140" s="52">
        <f t="shared" si="53"/>
        <v>0.69610298507462676</v>
      </c>
      <c r="AB140" s="111">
        <f t="shared" si="55"/>
        <v>15300</v>
      </c>
    </row>
    <row r="141" spans="1:28" ht="29.25" customHeight="1" x14ac:dyDescent="0.25">
      <c r="A141" s="40" t="s">
        <v>601</v>
      </c>
      <c r="B141" s="41" t="s">
        <v>423</v>
      </c>
      <c r="C141" s="39" t="s">
        <v>683</v>
      </c>
      <c r="D141" s="33">
        <v>2781</v>
      </c>
      <c r="E141" s="33">
        <f t="shared" si="56"/>
        <v>3086.91</v>
      </c>
      <c r="F141" s="33">
        <v>5199</v>
      </c>
      <c r="G141" s="36">
        <f t="shared" si="57"/>
        <v>0.40624927870744365</v>
      </c>
      <c r="H141" s="33">
        <v>10400</v>
      </c>
      <c r="I141" s="36">
        <f t="shared" si="58"/>
        <v>0.70318173076923085</v>
      </c>
      <c r="J141" s="33">
        <v>4799</v>
      </c>
      <c r="K141" s="36">
        <f t="shared" si="59"/>
        <v>0.35675974161283591</v>
      </c>
      <c r="L141" s="33">
        <v>4799</v>
      </c>
      <c r="M141" s="36">
        <f t="shared" si="60"/>
        <v>0.35675974161283591</v>
      </c>
      <c r="N141" s="120">
        <v>2815</v>
      </c>
      <c r="O141" s="78">
        <v>3125</v>
      </c>
      <c r="P141" s="127">
        <v>5199</v>
      </c>
      <c r="Q141" s="65">
        <f t="shared" si="62"/>
        <v>0.39899019042123479</v>
      </c>
      <c r="R141" s="82">
        <v>5199</v>
      </c>
      <c r="S141" s="97">
        <f t="shared" si="50"/>
        <v>0.39899019042123479</v>
      </c>
      <c r="T141" s="135">
        <v>5300</v>
      </c>
      <c r="U141" s="52">
        <f t="shared" si="49"/>
        <v>0.41044339622641501</v>
      </c>
      <c r="V141" s="82">
        <v>6300</v>
      </c>
      <c r="W141" s="52">
        <f t="shared" si="51"/>
        <v>0.50402380952380943</v>
      </c>
      <c r="X141" s="82">
        <v>7800</v>
      </c>
      <c r="Y141" s="52">
        <f t="shared" si="52"/>
        <v>0.59940384615384612</v>
      </c>
      <c r="Z141" s="82">
        <v>10400</v>
      </c>
      <c r="AA141" s="52">
        <f t="shared" si="53"/>
        <v>0.69955288461538467</v>
      </c>
      <c r="AB141" s="111">
        <f t="shared" si="55"/>
        <v>5099</v>
      </c>
    </row>
    <row r="142" spans="1:28" ht="29.25" customHeight="1" x14ac:dyDescent="0.25">
      <c r="A142" s="40" t="s">
        <v>602</v>
      </c>
      <c r="B142" s="41" t="s">
        <v>411</v>
      </c>
      <c r="C142" s="137" t="s">
        <v>412</v>
      </c>
      <c r="D142" s="35">
        <v>3295</v>
      </c>
      <c r="E142" s="35">
        <f t="shared" si="56"/>
        <v>3657.45</v>
      </c>
      <c r="F142" s="35">
        <v>6199</v>
      </c>
      <c r="G142" s="36">
        <f t="shared" si="57"/>
        <v>0.40999354734634608</v>
      </c>
      <c r="H142" s="33">
        <v>12000</v>
      </c>
      <c r="I142" s="36">
        <f t="shared" si="58"/>
        <v>0.69521250000000001</v>
      </c>
      <c r="J142" s="33">
        <v>6300</v>
      </c>
      <c r="K142" s="36">
        <f t="shared" si="59"/>
        <v>0.41945238095238085</v>
      </c>
      <c r="L142" s="33">
        <v>6400</v>
      </c>
      <c r="M142" s="36">
        <f t="shared" si="60"/>
        <v>0.42852343749999999</v>
      </c>
      <c r="N142" s="38">
        <v>3735.41</v>
      </c>
      <c r="O142" s="58">
        <f t="shared" si="61"/>
        <v>4146.3050999999996</v>
      </c>
      <c r="P142" s="86">
        <v>6300</v>
      </c>
      <c r="Q142" s="65">
        <f t="shared" si="62"/>
        <v>0.34185633333333326</v>
      </c>
      <c r="R142" s="84">
        <v>6400</v>
      </c>
      <c r="S142" s="97">
        <f t="shared" si="50"/>
        <v>0.352139828125</v>
      </c>
      <c r="T142" s="135">
        <v>7000</v>
      </c>
      <c r="U142" s="52">
        <f t="shared" si="49"/>
        <v>0.40767069999999994</v>
      </c>
      <c r="V142" s="82">
        <v>8300</v>
      </c>
      <c r="W142" s="52">
        <f t="shared" si="51"/>
        <v>0.50044516867469879</v>
      </c>
      <c r="X142" s="82">
        <v>10400</v>
      </c>
      <c r="Y142" s="52">
        <f t="shared" si="52"/>
        <v>0.60131681730769238</v>
      </c>
      <c r="Z142" s="82">
        <v>13800</v>
      </c>
      <c r="AA142" s="52">
        <f t="shared" si="53"/>
        <v>0.69954310869565217</v>
      </c>
      <c r="AB142" s="113">
        <f>P142+300</f>
        <v>6600</v>
      </c>
    </row>
    <row r="143" spans="1:28" ht="30" customHeight="1" x14ac:dyDescent="0.25">
      <c r="A143" s="40" t="s">
        <v>659</v>
      </c>
      <c r="B143" s="41" t="s">
        <v>413</v>
      </c>
      <c r="C143" s="39" t="s">
        <v>414</v>
      </c>
      <c r="D143" s="35">
        <v>3295</v>
      </c>
      <c r="E143" s="35">
        <f t="shared" si="56"/>
        <v>3657.45</v>
      </c>
      <c r="F143" s="35">
        <v>6199</v>
      </c>
      <c r="G143" s="36">
        <f t="shared" si="57"/>
        <v>0.40999354734634608</v>
      </c>
      <c r="H143" s="33">
        <v>12000</v>
      </c>
      <c r="I143" s="36">
        <f t="shared" si="58"/>
        <v>0.69521250000000001</v>
      </c>
      <c r="J143" s="33">
        <v>6300</v>
      </c>
      <c r="K143" s="36">
        <f t="shared" si="59"/>
        <v>0.41945238095238085</v>
      </c>
      <c r="L143" s="33">
        <v>6400</v>
      </c>
      <c r="M143" s="36">
        <f t="shared" si="60"/>
        <v>0.42852343749999999</v>
      </c>
      <c r="N143" s="38">
        <v>3735.41</v>
      </c>
      <c r="O143" s="58">
        <f t="shared" si="61"/>
        <v>4146.3050999999996</v>
      </c>
      <c r="P143" s="86">
        <v>6300</v>
      </c>
      <c r="Q143" s="65">
        <f t="shared" si="62"/>
        <v>0.34185633333333326</v>
      </c>
      <c r="R143" s="84">
        <v>6400</v>
      </c>
      <c r="S143" s="97">
        <f t="shared" si="50"/>
        <v>0.352139828125</v>
      </c>
      <c r="T143" s="135">
        <v>7000</v>
      </c>
      <c r="U143" s="52">
        <f t="shared" si="49"/>
        <v>0.40767069999999994</v>
      </c>
      <c r="V143" s="82">
        <v>8300</v>
      </c>
      <c r="W143" s="52">
        <f t="shared" si="51"/>
        <v>0.50044516867469879</v>
      </c>
      <c r="X143" s="82">
        <v>10400</v>
      </c>
      <c r="Y143" s="52">
        <f t="shared" si="52"/>
        <v>0.60131681730769238</v>
      </c>
      <c r="Z143" s="82">
        <v>13800</v>
      </c>
      <c r="AA143" s="52">
        <f t="shared" si="53"/>
        <v>0.69954310869565217</v>
      </c>
      <c r="AB143" s="113">
        <f>P143+300</f>
        <v>6600</v>
      </c>
    </row>
    <row r="144" spans="1:28" ht="30" customHeight="1" x14ac:dyDescent="0.25">
      <c r="A144" s="40" t="s">
        <v>603</v>
      </c>
      <c r="B144" s="41" t="s">
        <v>415</v>
      </c>
      <c r="C144" s="137" t="s">
        <v>4</v>
      </c>
      <c r="D144" s="35">
        <v>3295</v>
      </c>
      <c r="E144" s="35">
        <f t="shared" si="56"/>
        <v>3657.45</v>
      </c>
      <c r="F144" s="35">
        <v>6199</v>
      </c>
      <c r="G144" s="36">
        <f t="shared" si="57"/>
        <v>0.40999354734634608</v>
      </c>
      <c r="H144" s="33">
        <v>12000</v>
      </c>
      <c r="I144" s="36">
        <f t="shared" si="58"/>
        <v>0.69521250000000001</v>
      </c>
      <c r="J144" s="33">
        <v>6300</v>
      </c>
      <c r="K144" s="36">
        <f t="shared" si="59"/>
        <v>0.41945238095238085</v>
      </c>
      <c r="L144" s="33">
        <v>6400</v>
      </c>
      <c r="M144" s="36">
        <f t="shared" si="60"/>
        <v>0.42852343749999999</v>
      </c>
      <c r="N144" s="38">
        <v>3735.41</v>
      </c>
      <c r="O144" s="58">
        <f t="shared" si="61"/>
        <v>4146.3050999999996</v>
      </c>
      <c r="P144" s="86">
        <v>6300</v>
      </c>
      <c r="Q144" s="65">
        <f t="shared" si="62"/>
        <v>0.34185633333333326</v>
      </c>
      <c r="R144" s="84">
        <v>6400</v>
      </c>
      <c r="S144" s="97">
        <f t="shared" si="50"/>
        <v>0.352139828125</v>
      </c>
      <c r="T144" s="135">
        <v>7000</v>
      </c>
      <c r="U144" s="52">
        <f t="shared" si="49"/>
        <v>0.40767069999999994</v>
      </c>
      <c r="V144" s="82">
        <v>8300</v>
      </c>
      <c r="W144" s="52">
        <f t="shared" si="51"/>
        <v>0.50044516867469879</v>
      </c>
      <c r="X144" s="82">
        <v>10400</v>
      </c>
      <c r="Y144" s="52">
        <f t="shared" si="52"/>
        <v>0.60131681730769238</v>
      </c>
      <c r="Z144" s="82">
        <v>13800</v>
      </c>
      <c r="AA144" s="52">
        <f t="shared" si="53"/>
        <v>0.69954310869565217</v>
      </c>
      <c r="AB144" s="113">
        <f>P144+300</f>
        <v>6600</v>
      </c>
    </row>
    <row r="145" spans="1:28" ht="33" customHeight="1" x14ac:dyDescent="0.25">
      <c r="A145" s="40" t="s">
        <v>604</v>
      </c>
      <c r="B145" s="41" t="s">
        <v>416</v>
      </c>
      <c r="C145" s="39" t="s">
        <v>170</v>
      </c>
      <c r="D145" s="35">
        <v>5525</v>
      </c>
      <c r="E145" s="35">
        <f t="shared" si="56"/>
        <v>6132.75</v>
      </c>
      <c r="F145" s="35">
        <v>10400</v>
      </c>
      <c r="G145" s="36">
        <f t="shared" si="57"/>
        <v>0.41031250000000002</v>
      </c>
      <c r="H145" s="33">
        <v>20500</v>
      </c>
      <c r="I145" s="36">
        <f t="shared" si="58"/>
        <v>0.70084146341463405</v>
      </c>
      <c r="J145" s="33">
        <v>10900</v>
      </c>
      <c r="K145" s="36">
        <f t="shared" si="59"/>
        <v>0.43736238532110083</v>
      </c>
      <c r="L145" s="33">
        <v>10900</v>
      </c>
      <c r="M145" s="36">
        <f t="shared" si="60"/>
        <v>0.43736238532110083</v>
      </c>
      <c r="N145" s="38">
        <v>6354.37</v>
      </c>
      <c r="O145" s="58">
        <f t="shared" si="61"/>
        <v>7053.3507</v>
      </c>
      <c r="P145" s="129">
        <v>10900</v>
      </c>
      <c r="Q145" s="65">
        <f t="shared" si="62"/>
        <v>0.3529036055045871</v>
      </c>
      <c r="R145" s="84">
        <v>10900</v>
      </c>
      <c r="S145" s="97">
        <f t="shared" si="50"/>
        <v>0.3529036055045871</v>
      </c>
      <c r="T145" s="135">
        <v>12000</v>
      </c>
      <c r="U145" s="52">
        <f t="shared" si="49"/>
        <v>0.41222077499999998</v>
      </c>
      <c r="V145" s="82">
        <v>14000</v>
      </c>
      <c r="W145" s="52">
        <f t="shared" si="51"/>
        <v>0.49618923571428564</v>
      </c>
      <c r="X145" s="82">
        <v>17600</v>
      </c>
      <c r="Y145" s="52">
        <f t="shared" si="52"/>
        <v>0.59924143750000003</v>
      </c>
      <c r="Z145" s="82">
        <v>23500</v>
      </c>
      <c r="AA145" s="52">
        <f t="shared" si="53"/>
        <v>0.69985741702127657</v>
      </c>
      <c r="AB145" s="113">
        <f>P145+300</f>
        <v>11200</v>
      </c>
    </row>
    <row r="146" spans="1:28" ht="26.25" customHeight="1" x14ac:dyDescent="0.25">
      <c r="A146" s="40" t="s">
        <v>605</v>
      </c>
      <c r="B146" s="41" t="s">
        <v>316</v>
      </c>
      <c r="C146" s="39" t="s">
        <v>417</v>
      </c>
      <c r="D146" s="35">
        <v>3153</v>
      </c>
      <c r="E146" s="35">
        <f t="shared" si="56"/>
        <v>3499.83</v>
      </c>
      <c r="F146" s="35">
        <v>5900</v>
      </c>
      <c r="G146" s="36">
        <f t="shared" si="57"/>
        <v>0.40680847457627123</v>
      </c>
      <c r="H146" s="33">
        <v>11500</v>
      </c>
      <c r="I146" s="36">
        <f t="shared" si="58"/>
        <v>0.69566695652173904</v>
      </c>
      <c r="J146" s="33">
        <v>5000</v>
      </c>
      <c r="K146" s="36">
        <f t="shared" si="59"/>
        <v>0.30003399999999997</v>
      </c>
      <c r="L146" s="33">
        <v>5800</v>
      </c>
      <c r="M146" s="36">
        <f t="shared" si="60"/>
        <v>0.39658103448275855</v>
      </c>
      <c r="N146" s="38">
        <v>3378.37</v>
      </c>
      <c r="O146" s="58">
        <f t="shared" si="61"/>
        <v>3749.9906999999998</v>
      </c>
      <c r="P146" s="129">
        <v>5000</v>
      </c>
      <c r="Q146" s="65">
        <f t="shared" ref="Q146:Q154" si="63">(P146/1.11-N146)/P146*1.11</f>
        <v>0.25000186000000002</v>
      </c>
      <c r="R146" s="84">
        <v>5800</v>
      </c>
      <c r="S146" s="97">
        <f t="shared" si="50"/>
        <v>0.35344987931034477</v>
      </c>
      <c r="T146" s="135">
        <v>6400</v>
      </c>
      <c r="U146" s="52">
        <f t="shared" si="49"/>
        <v>0.41406395312499999</v>
      </c>
      <c r="V146" s="82">
        <v>7500</v>
      </c>
      <c r="W146" s="52">
        <f t="shared" si="51"/>
        <v>0.5000012399999999</v>
      </c>
      <c r="X146" s="82">
        <v>9400</v>
      </c>
      <c r="Y146" s="52">
        <f t="shared" si="52"/>
        <v>0.60106481914893606</v>
      </c>
      <c r="Z146" s="82">
        <v>12400</v>
      </c>
      <c r="AA146" s="52">
        <f t="shared" si="53"/>
        <v>0.69758139516129036</v>
      </c>
      <c r="AB146" s="113">
        <f t="shared" ref="AB146:AB158" si="64">P146+300</f>
        <v>5300</v>
      </c>
    </row>
    <row r="147" spans="1:28" ht="30.75" customHeight="1" x14ac:dyDescent="0.25">
      <c r="A147" s="40" t="s">
        <v>606</v>
      </c>
      <c r="B147" s="41" t="s">
        <v>343</v>
      </c>
      <c r="C147" s="39" t="s">
        <v>418</v>
      </c>
      <c r="D147" s="35">
        <v>3378</v>
      </c>
      <c r="E147" s="35">
        <f t="shared" si="56"/>
        <v>3749.58</v>
      </c>
      <c r="F147" s="35">
        <v>6400</v>
      </c>
      <c r="G147" s="36">
        <f>(F147/1.11-D147)/F147*1.11</f>
        <v>0.41412812499999996</v>
      </c>
      <c r="H147" s="33">
        <v>12500</v>
      </c>
      <c r="I147" s="36">
        <f t="shared" si="58"/>
        <v>0.70003360000000003</v>
      </c>
      <c r="J147" s="33">
        <v>5000</v>
      </c>
      <c r="K147" s="36">
        <f>(J147/1.11-D147)/J147*1.11</f>
        <v>0.25008399999999997</v>
      </c>
      <c r="L147" s="33">
        <v>5800</v>
      </c>
      <c r="M147" s="36">
        <f>(L147/1.11-D147)/L147*1.11</f>
        <v>0.35352068965517236</v>
      </c>
      <c r="N147" s="38">
        <v>3378.37</v>
      </c>
      <c r="O147" s="58">
        <f t="shared" ref="O147:O183" si="65">(N147*11%)+N147</f>
        <v>3749.9906999999998</v>
      </c>
      <c r="P147" s="129">
        <v>5000</v>
      </c>
      <c r="Q147" s="65">
        <f t="shared" si="63"/>
        <v>0.25000186000000002</v>
      </c>
      <c r="R147" s="84">
        <v>5800</v>
      </c>
      <c r="S147" s="97">
        <f t="shared" si="50"/>
        <v>0.35344987931034477</v>
      </c>
      <c r="T147" s="135">
        <v>6400</v>
      </c>
      <c r="U147" s="52">
        <f t="shared" si="49"/>
        <v>0.41406395312499999</v>
      </c>
      <c r="V147" s="82">
        <v>7500</v>
      </c>
      <c r="W147" s="52">
        <f t="shared" si="51"/>
        <v>0.5000012399999999</v>
      </c>
      <c r="X147" s="82">
        <v>9400</v>
      </c>
      <c r="Y147" s="52">
        <f t="shared" si="52"/>
        <v>0.60106481914893606</v>
      </c>
      <c r="Z147" s="82">
        <v>12400</v>
      </c>
      <c r="AA147" s="52">
        <f t="shared" si="53"/>
        <v>0.69758139516129036</v>
      </c>
      <c r="AB147" s="113">
        <f t="shared" si="64"/>
        <v>5300</v>
      </c>
    </row>
    <row r="148" spans="1:28" ht="24.75" customHeight="1" x14ac:dyDescent="0.25">
      <c r="A148" s="40" t="s">
        <v>660</v>
      </c>
      <c r="B148" s="41" t="s">
        <v>347</v>
      </c>
      <c r="C148" s="39" t="s">
        <v>419</v>
      </c>
      <c r="D148" s="35">
        <v>2327.92</v>
      </c>
      <c r="E148" s="35">
        <f t="shared" si="56"/>
        <v>2583.9911999999999</v>
      </c>
      <c r="F148" s="35">
        <v>4500</v>
      </c>
      <c r="G148" s="36">
        <f>(F148/1.11-D148)/F148*1.11</f>
        <v>0.4257797333333333</v>
      </c>
      <c r="H148" s="33">
        <v>8900</v>
      </c>
      <c r="I148" s="36">
        <f t="shared" si="58"/>
        <v>0.70966391011235963</v>
      </c>
      <c r="J148" s="33">
        <v>4000</v>
      </c>
      <c r="K148" s="36">
        <f>(J148/1.11-D148)/J148*1.11</f>
        <v>0.35400219999999999</v>
      </c>
      <c r="L148" s="33">
        <v>4000</v>
      </c>
      <c r="M148" s="36">
        <f>(L148/1.11-D148)/L148*1.11</f>
        <v>0.35400219999999999</v>
      </c>
      <c r="N148" s="38">
        <v>2327.92</v>
      </c>
      <c r="O148" s="58">
        <f t="shared" si="65"/>
        <v>2583.9911999999999</v>
      </c>
      <c r="P148" s="86">
        <v>4200</v>
      </c>
      <c r="Q148" s="65">
        <f t="shared" si="63"/>
        <v>0.38476399999999988</v>
      </c>
      <c r="R148" s="84">
        <v>4200</v>
      </c>
      <c r="S148" s="97">
        <f t="shared" si="50"/>
        <v>0.38476399999999988</v>
      </c>
      <c r="T148" s="135">
        <v>4700</v>
      </c>
      <c r="U148" s="52">
        <f t="shared" si="49"/>
        <v>0.45021463829787217</v>
      </c>
      <c r="V148" s="100">
        <v>5200</v>
      </c>
      <c r="W148" s="52">
        <f t="shared" si="51"/>
        <v>0.5030786153846154</v>
      </c>
      <c r="X148" s="100">
        <v>6500</v>
      </c>
      <c r="Y148" s="52">
        <f t="shared" si="52"/>
        <v>0.60246289230769223</v>
      </c>
      <c r="Z148" s="93">
        <v>8500</v>
      </c>
      <c r="AA148" s="52">
        <f t="shared" si="53"/>
        <v>0.69600103529411761</v>
      </c>
      <c r="AB148" s="113">
        <f t="shared" si="64"/>
        <v>4500</v>
      </c>
    </row>
    <row r="149" spans="1:28" ht="26.25" customHeight="1" x14ac:dyDescent="0.25">
      <c r="A149" s="40" t="s">
        <v>607</v>
      </c>
      <c r="B149" s="41" t="s">
        <v>374</v>
      </c>
      <c r="C149" s="39" t="s">
        <v>421</v>
      </c>
      <c r="D149" s="35">
        <v>2214</v>
      </c>
      <c r="E149" s="35">
        <f t="shared" si="56"/>
        <v>2457.54</v>
      </c>
      <c r="F149" s="35">
        <v>4500</v>
      </c>
      <c r="G149" s="36">
        <f>(F149/1.11-D149)/F149*1.11</f>
        <v>0.45387999999999995</v>
      </c>
      <c r="H149" s="33">
        <v>8200</v>
      </c>
      <c r="I149" s="36">
        <f t="shared" si="58"/>
        <v>0.70029999999999992</v>
      </c>
      <c r="J149" s="33">
        <v>4000</v>
      </c>
      <c r="K149" s="36">
        <f>(J149/1.11-D149)/J149*1.11</f>
        <v>0.38561499999999999</v>
      </c>
      <c r="L149" s="33">
        <v>4000</v>
      </c>
      <c r="M149" s="34">
        <f>(L149/1.11-D149)/L149*1.11</f>
        <v>0.38561499999999999</v>
      </c>
      <c r="N149" s="38">
        <v>2327.92</v>
      </c>
      <c r="O149" s="58">
        <f t="shared" si="65"/>
        <v>2583.9911999999999</v>
      </c>
      <c r="P149" s="86">
        <v>4200</v>
      </c>
      <c r="Q149" s="65">
        <f t="shared" si="63"/>
        <v>0.38476399999999988</v>
      </c>
      <c r="R149" s="84">
        <v>4200</v>
      </c>
      <c r="S149" s="97">
        <f t="shared" si="50"/>
        <v>0.38476399999999988</v>
      </c>
      <c r="T149" s="135">
        <v>4700</v>
      </c>
      <c r="U149" s="52">
        <f t="shared" si="49"/>
        <v>0.45021463829787217</v>
      </c>
      <c r="V149" s="100">
        <v>5200</v>
      </c>
      <c r="W149" s="52">
        <f t="shared" si="51"/>
        <v>0.5030786153846154</v>
      </c>
      <c r="X149" s="100">
        <v>6500</v>
      </c>
      <c r="Y149" s="52">
        <f t="shared" si="52"/>
        <v>0.60246289230769223</v>
      </c>
      <c r="Z149" s="93">
        <v>8500</v>
      </c>
      <c r="AA149" s="52">
        <f t="shared" si="53"/>
        <v>0.69600103529411761</v>
      </c>
      <c r="AB149" s="113">
        <f t="shared" si="64"/>
        <v>4500</v>
      </c>
    </row>
    <row r="150" spans="1:28" ht="32.25" customHeight="1" x14ac:dyDescent="0.25">
      <c r="A150" s="40" t="s">
        <v>608</v>
      </c>
      <c r="B150" s="41" t="s">
        <v>425</v>
      </c>
      <c r="C150" s="39" t="s">
        <v>426</v>
      </c>
      <c r="D150" s="35"/>
      <c r="E150" s="35"/>
      <c r="F150" s="35"/>
      <c r="G150" s="36"/>
      <c r="H150" s="33"/>
      <c r="I150" s="36"/>
      <c r="J150" s="33"/>
      <c r="K150" s="36"/>
      <c r="L150" s="33"/>
      <c r="M150" s="34"/>
      <c r="N150" s="38">
        <v>4392</v>
      </c>
      <c r="O150" s="58">
        <f t="shared" si="65"/>
        <v>4875.12</v>
      </c>
      <c r="P150" s="86">
        <v>6100</v>
      </c>
      <c r="Q150" s="65">
        <f t="shared" si="63"/>
        <v>0.20079999999999987</v>
      </c>
      <c r="R150" s="84">
        <v>7500</v>
      </c>
      <c r="S150" s="97">
        <f t="shared" si="50"/>
        <v>0.34998399999999991</v>
      </c>
      <c r="T150" s="135">
        <v>8300</v>
      </c>
      <c r="U150" s="52">
        <f t="shared" si="49"/>
        <v>0.41263614457831321</v>
      </c>
      <c r="V150" s="100">
        <v>9700</v>
      </c>
      <c r="W150" s="52">
        <f t="shared" si="51"/>
        <v>0.49741030927835039</v>
      </c>
      <c r="X150" s="100">
        <v>12300</v>
      </c>
      <c r="Y150" s="52">
        <f t="shared" si="52"/>
        <v>0.60364878048780479</v>
      </c>
      <c r="Z150" s="93">
        <v>16000</v>
      </c>
      <c r="AA150" s="52">
        <f t="shared" si="53"/>
        <v>0.69530499999999995</v>
      </c>
      <c r="AB150" s="113">
        <f t="shared" si="64"/>
        <v>6400</v>
      </c>
    </row>
    <row r="151" spans="1:28" ht="32.25" customHeight="1" x14ac:dyDescent="0.25">
      <c r="A151" s="40" t="s">
        <v>609</v>
      </c>
      <c r="B151" s="41" t="s">
        <v>427</v>
      </c>
      <c r="C151" s="39" t="s">
        <v>428</v>
      </c>
      <c r="D151" s="35"/>
      <c r="E151" s="35"/>
      <c r="F151" s="35"/>
      <c r="G151" s="36"/>
      <c r="H151" s="33"/>
      <c r="I151" s="36"/>
      <c r="J151" s="33"/>
      <c r="K151" s="36"/>
      <c r="L151" s="33"/>
      <c r="M151" s="34"/>
      <c r="N151" s="38">
        <v>4392</v>
      </c>
      <c r="O151" s="58">
        <f t="shared" si="65"/>
        <v>4875.12</v>
      </c>
      <c r="P151" s="86">
        <v>6100</v>
      </c>
      <c r="Q151" s="65">
        <f t="shared" si="63"/>
        <v>0.20079999999999987</v>
      </c>
      <c r="R151" s="84">
        <v>7500</v>
      </c>
      <c r="S151" s="97">
        <f t="shared" si="50"/>
        <v>0.34998399999999991</v>
      </c>
      <c r="T151" s="135">
        <v>8300</v>
      </c>
      <c r="U151" s="52">
        <f t="shared" si="49"/>
        <v>0.41263614457831321</v>
      </c>
      <c r="V151" s="100">
        <v>9700</v>
      </c>
      <c r="W151" s="52">
        <f t="shared" si="51"/>
        <v>0.49741030927835039</v>
      </c>
      <c r="X151" s="100">
        <v>12300</v>
      </c>
      <c r="Y151" s="52">
        <f t="shared" si="52"/>
        <v>0.60364878048780479</v>
      </c>
      <c r="Z151" s="93">
        <v>16000</v>
      </c>
      <c r="AA151" s="52">
        <f t="shared" si="53"/>
        <v>0.69530499999999995</v>
      </c>
      <c r="AB151" s="113">
        <f t="shared" si="64"/>
        <v>6400</v>
      </c>
    </row>
    <row r="152" spans="1:28" ht="32.25" customHeight="1" x14ac:dyDescent="0.25">
      <c r="A152" s="40" t="s">
        <v>610</v>
      </c>
      <c r="B152" s="41" t="s">
        <v>429</v>
      </c>
      <c r="C152" s="39" t="s">
        <v>430</v>
      </c>
      <c r="D152" s="35"/>
      <c r="E152" s="35"/>
      <c r="F152" s="35"/>
      <c r="G152" s="36"/>
      <c r="H152" s="33"/>
      <c r="I152" s="36"/>
      <c r="J152" s="33"/>
      <c r="K152" s="36"/>
      <c r="L152" s="33"/>
      <c r="M152" s="34"/>
      <c r="N152" s="38">
        <v>4707</v>
      </c>
      <c r="O152" s="58">
        <f t="shared" si="65"/>
        <v>5224.7700000000004</v>
      </c>
      <c r="P152" s="129">
        <v>6500</v>
      </c>
      <c r="Q152" s="65">
        <f t="shared" si="63"/>
        <v>0.19618923076923067</v>
      </c>
      <c r="R152" s="84">
        <v>8000</v>
      </c>
      <c r="S152" s="97">
        <f t="shared" si="50"/>
        <v>0.34690375000000001</v>
      </c>
      <c r="T152" s="135">
        <v>8900</v>
      </c>
      <c r="U152" s="52">
        <f t="shared" si="49"/>
        <v>0.41294719101123595</v>
      </c>
      <c r="V152" s="100">
        <v>10400</v>
      </c>
      <c r="W152" s="52">
        <f t="shared" si="51"/>
        <v>0.49761826923076924</v>
      </c>
      <c r="X152" s="100">
        <v>13200</v>
      </c>
      <c r="Y152" s="52">
        <f t="shared" si="52"/>
        <v>0.60418409090909098</v>
      </c>
      <c r="Z152" s="93">
        <v>17200</v>
      </c>
      <c r="AA152" s="52">
        <f t="shared" si="53"/>
        <v>0.69623430232558137</v>
      </c>
      <c r="AB152" s="113">
        <f t="shared" si="64"/>
        <v>6800</v>
      </c>
    </row>
    <row r="153" spans="1:28" ht="32.25" customHeight="1" x14ac:dyDescent="0.25">
      <c r="A153" s="40" t="s">
        <v>611</v>
      </c>
      <c r="B153" s="41" t="s">
        <v>431</v>
      </c>
      <c r="C153" s="39" t="s">
        <v>432</v>
      </c>
      <c r="D153" s="35"/>
      <c r="E153" s="35"/>
      <c r="F153" s="35"/>
      <c r="G153" s="36"/>
      <c r="H153" s="33"/>
      <c r="I153" s="36"/>
      <c r="J153" s="33"/>
      <c r="K153" s="36"/>
      <c r="L153" s="33"/>
      <c r="M153" s="34"/>
      <c r="N153" s="38">
        <v>2702.7020000000002</v>
      </c>
      <c r="O153" s="68">
        <f t="shared" si="65"/>
        <v>2999.9992200000002</v>
      </c>
      <c r="P153" s="86">
        <v>4100</v>
      </c>
      <c r="Q153" s="65">
        <f t="shared" si="63"/>
        <v>0.26829287317073153</v>
      </c>
      <c r="R153" s="84">
        <v>4600</v>
      </c>
      <c r="S153" s="97">
        <f t="shared" si="50"/>
        <v>0.34782625652173904</v>
      </c>
      <c r="T153" s="135">
        <v>5100</v>
      </c>
      <c r="U153" s="52">
        <f t="shared" si="49"/>
        <v>0.41176485882352931</v>
      </c>
      <c r="V153" s="100">
        <v>6000</v>
      </c>
      <c r="W153" s="52">
        <f t="shared" si="51"/>
        <v>0.50000012999999988</v>
      </c>
      <c r="X153" s="100">
        <v>7500</v>
      </c>
      <c r="Y153" s="52">
        <f t="shared" si="52"/>
        <v>0.60000010399999981</v>
      </c>
      <c r="Z153" s="93">
        <v>9900</v>
      </c>
      <c r="AA153" s="52">
        <f t="shared" si="53"/>
        <v>0.69696977575757568</v>
      </c>
      <c r="AB153" s="113">
        <f t="shared" si="64"/>
        <v>4400</v>
      </c>
    </row>
    <row r="154" spans="1:28" ht="32.25" customHeight="1" x14ac:dyDescent="0.25">
      <c r="A154" s="40" t="s">
        <v>612</v>
      </c>
      <c r="B154" s="41" t="s">
        <v>433</v>
      </c>
      <c r="C154" s="39" t="s">
        <v>434</v>
      </c>
      <c r="D154" s="35"/>
      <c r="E154" s="35"/>
      <c r="F154" s="35"/>
      <c r="G154" s="36"/>
      <c r="H154" s="33"/>
      <c r="I154" s="36"/>
      <c r="J154" s="33"/>
      <c r="K154" s="36"/>
      <c r="L154" s="33"/>
      <c r="M154" s="34"/>
      <c r="N154" s="38">
        <v>2702.7020000000002</v>
      </c>
      <c r="O154" s="68">
        <f t="shared" si="65"/>
        <v>2999.9992200000002</v>
      </c>
      <c r="P154" s="86">
        <v>4100</v>
      </c>
      <c r="Q154" s="65">
        <f t="shared" si="63"/>
        <v>0.26829287317073153</v>
      </c>
      <c r="R154" s="84">
        <v>4600</v>
      </c>
      <c r="S154" s="97">
        <f t="shared" si="50"/>
        <v>0.34782625652173904</v>
      </c>
      <c r="T154" s="135">
        <v>5100</v>
      </c>
      <c r="U154" s="52">
        <f t="shared" si="49"/>
        <v>0.41176485882352931</v>
      </c>
      <c r="V154" s="100">
        <v>6000</v>
      </c>
      <c r="W154" s="52">
        <f t="shared" si="51"/>
        <v>0.50000012999999988</v>
      </c>
      <c r="X154" s="100">
        <v>7500</v>
      </c>
      <c r="Y154" s="52">
        <f t="shared" si="52"/>
        <v>0.60000010399999981</v>
      </c>
      <c r="Z154" s="93">
        <v>9900</v>
      </c>
      <c r="AA154" s="52">
        <f t="shared" si="53"/>
        <v>0.69696977575757568</v>
      </c>
      <c r="AB154" s="113">
        <f t="shared" si="64"/>
        <v>4400</v>
      </c>
    </row>
    <row r="155" spans="1:28" ht="32.25" customHeight="1" x14ac:dyDescent="0.25">
      <c r="A155" s="40" t="s">
        <v>613</v>
      </c>
      <c r="B155" s="41" t="s">
        <v>435</v>
      </c>
      <c r="C155" s="39" t="s">
        <v>436</v>
      </c>
      <c r="D155" s="35"/>
      <c r="E155" s="35"/>
      <c r="F155" s="35"/>
      <c r="G155" s="36"/>
      <c r="H155" s="33"/>
      <c r="I155" s="36"/>
      <c r="J155" s="33"/>
      <c r="K155" s="36"/>
      <c r="L155" s="33"/>
      <c r="M155" s="34"/>
      <c r="N155" s="38">
        <v>9009</v>
      </c>
      <c r="O155" s="68">
        <f t="shared" si="65"/>
        <v>9999.99</v>
      </c>
      <c r="P155" s="86">
        <v>12700</v>
      </c>
      <c r="Q155" s="65">
        <f>(P155/1.11-N155)/P155*1.11</f>
        <v>0.21259921259842515</v>
      </c>
      <c r="R155" s="84">
        <v>15300</v>
      </c>
      <c r="S155" s="97">
        <f t="shared" si="50"/>
        <v>0.34640588235294117</v>
      </c>
      <c r="T155" s="135">
        <v>16900</v>
      </c>
      <c r="U155" s="52">
        <f t="shared" si="49"/>
        <v>0.40828461538461536</v>
      </c>
      <c r="V155" s="100">
        <v>20200</v>
      </c>
      <c r="W155" s="52">
        <f t="shared" si="51"/>
        <v>0.50495099009900979</v>
      </c>
      <c r="X155" s="100">
        <v>24700</v>
      </c>
      <c r="Y155" s="52">
        <f t="shared" si="52"/>
        <v>0.59514210526315769</v>
      </c>
      <c r="Z155" s="93">
        <v>33000</v>
      </c>
      <c r="AA155" s="52">
        <f t="shared" si="53"/>
        <v>0.69696999999999998</v>
      </c>
      <c r="AB155" s="113">
        <f t="shared" si="64"/>
        <v>13000</v>
      </c>
    </row>
    <row r="156" spans="1:28" ht="32.25" customHeight="1" x14ac:dyDescent="0.25">
      <c r="A156" s="40" t="s">
        <v>614</v>
      </c>
      <c r="B156" s="41" t="s">
        <v>443</v>
      </c>
      <c r="C156" s="39" t="s">
        <v>444</v>
      </c>
      <c r="D156" s="35"/>
      <c r="E156" s="35"/>
      <c r="F156" s="35"/>
      <c r="G156" s="36"/>
      <c r="H156" s="33"/>
      <c r="I156" s="36"/>
      <c r="J156" s="33"/>
      <c r="K156" s="36"/>
      <c r="L156" s="33"/>
      <c r="M156" s="34"/>
      <c r="N156" s="38">
        <v>6268.76</v>
      </c>
      <c r="O156" s="58">
        <f t="shared" si="65"/>
        <v>6958.3236000000006</v>
      </c>
      <c r="P156" s="131">
        <v>9500</v>
      </c>
      <c r="Q156" s="141">
        <f>(P156/1.11-N156)/P156*1.11</f>
        <v>0.26754488421052625</v>
      </c>
      <c r="R156" s="142">
        <v>10700</v>
      </c>
      <c r="S156" s="97">
        <f t="shared" si="50"/>
        <v>0.34968938317757009</v>
      </c>
      <c r="T156" s="135">
        <v>12000</v>
      </c>
      <c r="U156" s="52">
        <f t="shared" si="49"/>
        <v>0.42013969999999989</v>
      </c>
      <c r="V156" s="101">
        <v>14000</v>
      </c>
      <c r="W156" s="52">
        <f t="shared" si="51"/>
        <v>0.50297688571428556</v>
      </c>
      <c r="X156" s="101">
        <v>17300</v>
      </c>
      <c r="Y156" s="52">
        <f t="shared" si="52"/>
        <v>0.59778476300578032</v>
      </c>
      <c r="Z156" s="88">
        <v>23000</v>
      </c>
      <c r="AA156" s="52">
        <f t="shared" si="53"/>
        <v>0.69746419130434778</v>
      </c>
      <c r="AB156" s="114">
        <f t="shared" si="64"/>
        <v>9800</v>
      </c>
    </row>
    <row r="157" spans="1:28" ht="32.25" customHeight="1" x14ac:dyDescent="0.25">
      <c r="A157" s="40" t="s">
        <v>615</v>
      </c>
      <c r="B157" s="41" t="s">
        <v>445</v>
      </c>
      <c r="C157" s="39" t="s">
        <v>446</v>
      </c>
      <c r="D157" s="35"/>
      <c r="E157" s="35"/>
      <c r="F157" s="35"/>
      <c r="G157" s="36"/>
      <c r="H157" s="33"/>
      <c r="I157" s="36"/>
      <c r="J157" s="33"/>
      <c r="K157" s="36"/>
      <c r="L157" s="33"/>
      <c r="M157" s="34"/>
      <c r="N157" s="38">
        <v>6268.76</v>
      </c>
      <c r="O157" s="58">
        <f t="shared" si="65"/>
        <v>6958.3236000000006</v>
      </c>
      <c r="P157" s="131">
        <v>9500</v>
      </c>
      <c r="Q157" s="141">
        <f>(P157/1.11-N157)/P157*1.11</f>
        <v>0.26754488421052625</v>
      </c>
      <c r="R157" s="142">
        <v>10700</v>
      </c>
      <c r="S157" s="97">
        <f t="shared" si="50"/>
        <v>0.34968938317757009</v>
      </c>
      <c r="T157" s="135">
        <v>12000</v>
      </c>
      <c r="U157" s="52">
        <f t="shared" si="49"/>
        <v>0.42013969999999989</v>
      </c>
      <c r="V157" s="101">
        <v>14000</v>
      </c>
      <c r="W157" s="52">
        <f t="shared" si="51"/>
        <v>0.50297688571428556</v>
      </c>
      <c r="X157" s="101">
        <v>17300</v>
      </c>
      <c r="Y157" s="52">
        <f t="shared" si="52"/>
        <v>0.59778476300578032</v>
      </c>
      <c r="Z157" s="88">
        <v>23000</v>
      </c>
      <c r="AA157" s="52">
        <f t="shared" si="53"/>
        <v>0.69746419130434778</v>
      </c>
      <c r="AB157" s="114">
        <f t="shared" si="64"/>
        <v>9800</v>
      </c>
    </row>
    <row r="158" spans="1:28" ht="32.25" customHeight="1" x14ac:dyDescent="0.25">
      <c r="A158" s="40" t="s">
        <v>616</v>
      </c>
      <c r="B158" s="41" t="s">
        <v>469</v>
      </c>
      <c r="C158" s="39" t="s">
        <v>470</v>
      </c>
      <c r="D158" s="35"/>
      <c r="E158" s="35"/>
      <c r="F158" s="35"/>
      <c r="G158" s="36"/>
      <c r="H158" s="33"/>
      <c r="I158" s="36"/>
      <c r="J158" s="33"/>
      <c r="K158" s="36"/>
      <c r="L158" s="33"/>
      <c r="M158" s="34"/>
      <c r="N158" s="38">
        <v>4879.88</v>
      </c>
      <c r="O158" s="58">
        <f t="shared" si="65"/>
        <v>5416.6668</v>
      </c>
      <c r="P158" s="131">
        <v>9200</v>
      </c>
      <c r="Q158" s="141">
        <f t="shared" ref="Q158:Q169" si="66">(P158/1.11-N158)/P158*1.11</f>
        <v>0.41123186956521735</v>
      </c>
      <c r="R158" s="142">
        <v>8300</v>
      </c>
      <c r="S158" s="97">
        <f t="shared" si="50"/>
        <v>0.34738954216867463</v>
      </c>
      <c r="T158" s="135">
        <v>9200</v>
      </c>
      <c r="U158" s="52">
        <f t="shared" si="49"/>
        <v>0.41123186956521735</v>
      </c>
      <c r="V158" s="101">
        <v>10800</v>
      </c>
      <c r="W158" s="52">
        <f t="shared" si="51"/>
        <v>0.49845677777777764</v>
      </c>
      <c r="X158" s="101">
        <v>13500</v>
      </c>
      <c r="Y158" s="52">
        <f t="shared" si="52"/>
        <v>0.59876542222222218</v>
      </c>
      <c r="Z158" s="88">
        <v>17800</v>
      </c>
      <c r="AA158" s="52">
        <f t="shared" si="53"/>
        <v>0.6956928764044944</v>
      </c>
      <c r="AB158" s="114">
        <f t="shared" si="64"/>
        <v>9500</v>
      </c>
    </row>
    <row r="159" spans="1:28" ht="32.25" customHeight="1" x14ac:dyDescent="0.25">
      <c r="A159" s="40" t="s">
        <v>617</v>
      </c>
      <c r="B159" s="41" t="s">
        <v>695</v>
      </c>
      <c r="C159" s="39" t="s">
        <v>471</v>
      </c>
      <c r="D159" s="35"/>
      <c r="E159" s="35"/>
      <c r="F159" s="35"/>
      <c r="G159" s="36"/>
      <c r="H159" s="33"/>
      <c r="I159" s="36"/>
      <c r="J159" s="33"/>
      <c r="K159" s="36"/>
      <c r="L159" s="33"/>
      <c r="M159" s="34"/>
      <c r="N159" s="38">
        <v>6268.76</v>
      </c>
      <c r="O159" s="58">
        <f t="shared" si="65"/>
        <v>6958.3236000000006</v>
      </c>
      <c r="P159" s="132">
        <v>9200</v>
      </c>
      <c r="Q159" s="141">
        <f>(P160/1.11-N159)/P160*1.11</f>
        <v>0.41031155932203389</v>
      </c>
      <c r="R159" s="142">
        <v>10700</v>
      </c>
      <c r="S159" s="97">
        <f t="shared" si="50"/>
        <v>0.34968938317757009</v>
      </c>
      <c r="T159" s="119">
        <v>11800</v>
      </c>
      <c r="U159" s="52">
        <f t="shared" si="49"/>
        <v>0.41031155932203389</v>
      </c>
      <c r="V159" s="101">
        <v>14000</v>
      </c>
      <c r="W159" s="52">
        <f t="shared" si="51"/>
        <v>0.50297688571428556</v>
      </c>
      <c r="X159" s="101">
        <v>17500</v>
      </c>
      <c r="Y159" s="52">
        <f t="shared" si="52"/>
        <v>0.60238150857142847</v>
      </c>
      <c r="Z159" s="88">
        <v>23000</v>
      </c>
      <c r="AA159" s="52">
        <f t="shared" si="53"/>
        <v>0.69746419130434778</v>
      </c>
      <c r="AB159" s="114">
        <f>P160+300</f>
        <v>12100</v>
      </c>
    </row>
    <row r="160" spans="1:28" ht="32.25" customHeight="1" x14ac:dyDescent="0.25">
      <c r="A160" s="40" t="s">
        <v>618</v>
      </c>
      <c r="B160" s="41" t="s">
        <v>684</v>
      </c>
      <c r="C160" s="39" t="s">
        <v>472</v>
      </c>
      <c r="D160" s="35"/>
      <c r="E160" s="35"/>
      <c r="F160" s="35"/>
      <c r="G160" s="36"/>
      <c r="H160" s="33"/>
      <c r="I160" s="36"/>
      <c r="J160" s="33"/>
      <c r="K160" s="36"/>
      <c r="L160" s="33"/>
      <c r="M160" s="34"/>
      <c r="N160" s="38">
        <v>6268.76</v>
      </c>
      <c r="O160" s="58">
        <f t="shared" si="65"/>
        <v>6958.3236000000006</v>
      </c>
      <c r="P160" s="133">
        <v>11800</v>
      </c>
      <c r="Q160" s="141">
        <f>(P161/1.11-N160)/P161*1.11</f>
        <v>0.41031155932203389</v>
      </c>
      <c r="R160" s="142">
        <v>11800</v>
      </c>
      <c r="S160" s="97">
        <f t="shared" si="50"/>
        <v>0.41031155932203389</v>
      </c>
      <c r="T160" s="119">
        <v>11800</v>
      </c>
      <c r="U160" s="52">
        <f t="shared" si="49"/>
        <v>0.41031155932203389</v>
      </c>
      <c r="V160" s="101">
        <v>14000</v>
      </c>
      <c r="W160" s="52">
        <f t="shared" si="51"/>
        <v>0.50297688571428556</v>
      </c>
      <c r="X160" s="101">
        <v>17500</v>
      </c>
      <c r="Y160" s="52">
        <f t="shared" si="52"/>
        <v>0.60238150857142847</v>
      </c>
      <c r="Z160" s="88">
        <v>23000</v>
      </c>
      <c r="AA160" s="52">
        <f t="shared" si="53"/>
        <v>0.69746419130434778</v>
      </c>
      <c r="AB160" s="114">
        <f>P161+300</f>
        <v>12100</v>
      </c>
    </row>
    <row r="161" spans="1:28" ht="32.25" customHeight="1" x14ac:dyDescent="0.25">
      <c r="A161" s="40" t="s">
        <v>619</v>
      </c>
      <c r="B161" s="41" t="s">
        <v>685</v>
      </c>
      <c r="C161" s="39" t="s">
        <v>473</v>
      </c>
      <c r="D161" s="35"/>
      <c r="E161" s="35"/>
      <c r="F161" s="35"/>
      <c r="G161" s="36"/>
      <c r="H161" s="33"/>
      <c r="I161" s="36"/>
      <c r="J161" s="33"/>
      <c r="K161" s="36"/>
      <c r="L161" s="33"/>
      <c r="M161" s="34"/>
      <c r="N161" s="38">
        <v>6268.76</v>
      </c>
      <c r="O161" s="58">
        <f t="shared" si="65"/>
        <v>6958.3236000000006</v>
      </c>
      <c r="P161" s="131">
        <v>11800</v>
      </c>
      <c r="Q161" s="141">
        <f t="shared" si="66"/>
        <v>0.41031155932203389</v>
      </c>
      <c r="R161" s="142">
        <v>11800</v>
      </c>
      <c r="S161" s="97">
        <f t="shared" si="50"/>
        <v>0.41031155932203389</v>
      </c>
      <c r="T161" s="119">
        <v>11800</v>
      </c>
      <c r="U161" s="52">
        <f t="shared" si="49"/>
        <v>0.41031155932203389</v>
      </c>
      <c r="V161" s="101">
        <v>14000</v>
      </c>
      <c r="W161" s="52">
        <f t="shared" si="51"/>
        <v>0.50297688571428556</v>
      </c>
      <c r="X161" s="101">
        <v>17500</v>
      </c>
      <c r="Y161" s="52">
        <f t="shared" si="52"/>
        <v>0.60238150857142847</v>
      </c>
      <c r="Z161" s="88">
        <v>23000</v>
      </c>
      <c r="AA161" s="52">
        <f t="shared" si="53"/>
        <v>0.69746419130434778</v>
      </c>
      <c r="AB161" s="114">
        <f>P162+300</f>
        <v>10000</v>
      </c>
    </row>
    <row r="162" spans="1:28" ht="32.25" customHeight="1" x14ac:dyDescent="0.25">
      <c r="A162" s="40" t="s">
        <v>620</v>
      </c>
      <c r="B162" s="41" t="s">
        <v>14</v>
      </c>
      <c r="C162" s="39" t="s">
        <v>474</v>
      </c>
      <c r="D162" s="35"/>
      <c r="E162" s="35"/>
      <c r="F162" s="35"/>
      <c r="G162" s="36"/>
      <c r="H162" s="33"/>
      <c r="I162" s="36"/>
      <c r="J162" s="33"/>
      <c r="K162" s="36"/>
      <c r="L162" s="33"/>
      <c r="M162" s="34"/>
      <c r="N162" s="38">
        <v>6756.7529999999997</v>
      </c>
      <c r="O162" s="58">
        <f t="shared" si="65"/>
        <v>7499.9958299999998</v>
      </c>
      <c r="P162" s="131">
        <v>9700</v>
      </c>
      <c r="Q162" s="141">
        <f t="shared" si="66"/>
        <v>0.22680455360824731</v>
      </c>
      <c r="R162" s="142">
        <v>11500</v>
      </c>
      <c r="S162" s="97">
        <f t="shared" si="50"/>
        <v>0.3478264495652173</v>
      </c>
      <c r="T162" s="135">
        <v>12800</v>
      </c>
      <c r="U162" s="52">
        <f t="shared" si="49"/>
        <v>0.41406282578125003</v>
      </c>
      <c r="V162" s="101">
        <v>15000</v>
      </c>
      <c r="W162" s="52">
        <f t="shared" si="51"/>
        <v>0.50000027799999991</v>
      </c>
      <c r="X162" s="101">
        <v>18800</v>
      </c>
      <c r="Y162" s="52">
        <f t="shared" si="52"/>
        <v>0.60106405159574461</v>
      </c>
      <c r="Z162" s="88">
        <v>25000</v>
      </c>
      <c r="AA162" s="52">
        <f t="shared" si="53"/>
        <v>0.70000016679999999</v>
      </c>
      <c r="AB162" s="114">
        <f>P163+300</f>
        <v>10000</v>
      </c>
    </row>
    <row r="163" spans="1:28" ht="32.25" customHeight="1" x14ac:dyDescent="0.25">
      <c r="A163" s="40" t="s">
        <v>621</v>
      </c>
      <c r="B163" s="41" t="s">
        <v>13</v>
      </c>
      <c r="C163" s="39" t="s">
        <v>475</v>
      </c>
      <c r="D163" s="35"/>
      <c r="E163" s="35"/>
      <c r="F163" s="35"/>
      <c r="G163" s="36"/>
      <c r="H163" s="33"/>
      <c r="I163" s="36"/>
      <c r="J163" s="33"/>
      <c r="K163" s="36"/>
      <c r="L163" s="33"/>
      <c r="M163" s="34"/>
      <c r="N163" s="38">
        <v>6756.75</v>
      </c>
      <c r="O163" s="58">
        <f t="shared" si="65"/>
        <v>7499.9925000000003</v>
      </c>
      <c r="P163" s="131">
        <v>9700</v>
      </c>
      <c r="Q163" s="141">
        <f t="shared" si="66"/>
        <v>0.22680489690721634</v>
      </c>
      <c r="R163" s="142">
        <v>11500</v>
      </c>
      <c r="S163" s="97">
        <f t="shared" si="50"/>
        <v>0.34782673913043466</v>
      </c>
      <c r="T163" s="135">
        <v>12800</v>
      </c>
      <c r="U163" s="52">
        <f t="shared" si="49"/>
        <v>0.41406308593749996</v>
      </c>
      <c r="V163" s="101">
        <v>15000</v>
      </c>
      <c r="W163" s="52">
        <f t="shared" si="51"/>
        <v>0.50000049999999996</v>
      </c>
      <c r="X163" s="101">
        <v>18800</v>
      </c>
      <c r="Y163" s="52">
        <f t="shared" si="52"/>
        <v>0.60106422872340415</v>
      </c>
      <c r="Z163" s="88">
        <v>25000</v>
      </c>
      <c r="AA163" s="52">
        <f t="shared" si="53"/>
        <v>0.70000030000000002</v>
      </c>
      <c r="AB163" s="114">
        <f>P164+300</f>
        <v>15600</v>
      </c>
    </row>
    <row r="164" spans="1:28" ht="32.25" customHeight="1" x14ac:dyDescent="0.25">
      <c r="A164" s="40" t="s">
        <v>622</v>
      </c>
      <c r="B164" s="41" t="s">
        <v>686</v>
      </c>
      <c r="C164" s="39" t="s">
        <v>476</v>
      </c>
      <c r="D164" s="35"/>
      <c r="E164" s="35"/>
      <c r="F164" s="35"/>
      <c r="G164" s="36"/>
      <c r="H164" s="33"/>
      <c r="I164" s="36"/>
      <c r="J164" s="33"/>
      <c r="K164" s="36"/>
      <c r="L164" s="33"/>
      <c r="M164" s="34"/>
      <c r="N164" s="38">
        <v>8108.1</v>
      </c>
      <c r="O164" s="58">
        <f t="shared" si="65"/>
        <v>8999.991</v>
      </c>
      <c r="P164" s="131">
        <v>15300</v>
      </c>
      <c r="Q164" s="141">
        <f t="shared" si="66"/>
        <v>0.41176529411764701</v>
      </c>
      <c r="R164" s="142">
        <v>13800</v>
      </c>
      <c r="S164" s="97">
        <f t="shared" si="50"/>
        <v>0.34782673913043471</v>
      </c>
      <c r="T164" s="119">
        <v>15300</v>
      </c>
      <c r="U164" s="52">
        <f t="shared" si="49"/>
        <v>0.41176529411764701</v>
      </c>
      <c r="V164" s="101">
        <v>18000</v>
      </c>
      <c r="W164" s="52">
        <f t="shared" si="51"/>
        <v>0.50000049999999996</v>
      </c>
      <c r="X164" s="101">
        <v>22500</v>
      </c>
      <c r="Y164" s="52">
        <f t="shared" si="52"/>
        <v>0.6000004000000001</v>
      </c>
      <c r="Z164" s="88">
        <v>30000</v>
      </c>
      <c r="AA164" s="52">
        <f t="shared" si="53"/>
        <v>0.7000002999999998</v>
      </c>
      <c r="AB164" s="114">
        <f>P170+300</f>
        <v>19300</v>
      </c>
    </row>
    <row r="165" spans="1:28" ht="32.25" customHeight="1" x14ac:dyDescent="0.25">
      <c r="A165" s="40" t="s">
        <v>623</v>
      </c>
      <c r="B165" s="41" t="s">
        <v>692</v>
      </c>
      <c r="C165" s="39" t="s">
        <v>675</v>
      </c>
      <c r="D165" s="35"/>
      <c r="E165" s="35"/>
      <c r="F165" s="35"/>
      <c r="G165" s="36"/>
      <c r="H165" s="33"/>
      <c r="I165" s="36"/>
      <c r="J165" s="33"/>
      <c r="K165" s="36"/>
      <c r="L165" s="33"/>
      <c r="M165" s="34"/>
      <c r="N165" s="38">
        <v>6268.76</v>
      </c>
      <c r="O165" s="58">
        <f t="shared" si="65"/>
        <v>6958.3236000000006</v>
      </c>
      <c r="P165" s="133">
        <v>9200</v>
      </c>
      <c r="Q165" s="141">
        <f t="shared" si="66"/>
        <v>0.24366047826086951</v>
      </c>
      <c r="R165" s="142">
        <v>10700</v>
      </c>
      <c r="S165" s="97">
        <f t="shared" si="50"/>
        <v>0.34968938317757009</v>
      </c>
      <c r="T165" s="119">
        <v>11800</v>
      </c>
      <c r="U165" s="52">
        <f t="shared" si="49"/>
        <v>0.41031155932203389</v>
      </c>
      <c r="V165" s="101">
        <v>14000</v>
      </c>
      <c r="W165" s="52">
        <f t="shared" si="51"/>
        <v>0.50297688571428556</v>
      </c>
      <c r="X165" s="101">
        <v>17500</v>
      </c>
      <c r="Y165" s="52">
        <f t="shared" si="52"/>
        <v>0.60238150857142847</v>
      </c>
      <c r="Z165" s="88">
        <v>23000</v>
      </c>
      <c r="AA165" s="52">
        <f t="shared" si="53"/>
        <v>0.69746419130434778</v>
      </c>
      <c r="AB165" s="94"/>
    </row>
    <row r="166" spans="1:28" ht="32.25" customHeight="1" x14ac:dyDescent="0.25">
      <c r="A166" s="40" t="s">
        <v>624</v>
      </c>
      <c r="B166" s="41" t="s">
        <v>693</v>
      </c>
      <c r="C166" s="39" t="s">
        <v>676</v>
      </c>
      <c r="D166" s="35"/>
      <c r="E166" s="35"/>
      <c r="F166" s="35"/>
      <c r="G166" s="36"/>
      <c r="H166" s="33"/>
      <c r="I166" s="36"/>
      <c r="J166" s="33"/>
      <c r="K166" s="36"/>
      <c r="L166" s="33"/>
      <c r="M166" s="34"/>
      <c r="N166" s="38">
        <v>6268.76</v>
      </c>
      <c r="O166" s="58">
        <f t="shared" si="65"/>
        <v>6958.3236000000006</v>
      </c>
      <c r="P166" s="133">
        <v>9200</v>
      </c>
      <c r="Q166" s="141">
        <f t="shared" si="66"/>
        <v>0.24366047826086951</v>
      </c>
      <c r="R166" s="142">
        <v>10700</v>
      </c>
      <c r="S166" s="97">
        <f t="shared" si="50"/>
        <v>0.34968938317757009</v>
      </c>
      <c r="T166" s="119">
        <v>11800</v>
      </c>
      <c r="U166" s="52">
        <f t="shared" si="49"/>
        <v>0.41031155932203389</v>
      </c>
      <c r="V166" s="101">
        <v>14000</v>
      </c>
      <c r="W166" s="52">
        <f t="shared" si="51"/>
        <v>0.50297688571428556</v>
      </c>
      <c r="X166" s="101">
        <v>17500</v>
      </c>
      <c r="Y166" s="52">
        <f t="shared" si="52"/>
        <v>0.60238150857142847</v>
      </c>
      <c r="Z166" s="88">
        <v>23000</v>
      </c>
      <c r="AA166" s="52">
        <f t="shared" si="53"/>
        <v>0.69746419130434778</v>
      </c>
      <c r="AB166" s="94"/>
    </row>
    <row r="167" spans="1:28" ht="32.25" customHeight="1" x14ac:dyDescent="0.25">
      <c r="A167" s="40" t="s">
        <v>625</v>
      </c>
      <c r="B167" s="41" t="s">
        <v>687</v>
      </c>
      <c r="C167" s="39" t="s">
        <v>677</v>
      </c>
      <c r="D167" s="35"/>
      <c r="E167" s="35"/>
      <c r="F167" s="35"/>
      <c r="G167" s="36"/>
      <c r="H167" s="33"/>
      <c r="I167" s="36"/>
      <c r="J167" s="33"/>
      <c r="K167" s="36"/>
      <c r="L167" s="33"/>
      <c r="M167" s="34"/>
      <c r="N167" s="38">
        <v>6756.75</v>
      </c>
      <c r="O167" s="58">
        <f>(N167*11%)+N167</f>
        <v>7499.9925000000003</v>
      </c>
      <c r="P167" s="131">
        <v>9500</v>
      </c>
      <c r="Q167" s="141">
        <f t="shared" si="66"/>
        <v>0.21052710526315782</v>
      </c>
      <c r="R167" s="142">
        <v>11500</v>
      </c>
      <c r="S167" s="97">
        <f t="shared" si="50"/>
        <v>0.34782673913043466</v>
      </c>
      <c r="T167" s="119">
        <v>12800</v>
      </c>
      <c r="U167" s="52">
        <f t="shared" si="49"/>
        <v>0.41406308593749996</v>
      </c>
      <c r="V167" s="101">
        <v>15000</v>
      </c>
      <c r="W167" s="52">
        <f t="shared" si="51"/>
        <v>0.50000049999999996</v>
      </c>
      <c r="X167" s="101">
        <v>18800</v>
      </c>
      <c r="Y167" s="52">
        <f t="shared" si="52"/>
        <v>0.60106422872340415</v>
      </c>
      <c r="Z167" s="88">
        <v>25000</v>
      </c>
      <c r="AA167" s="52">
        <f t="shared" si="53"/>
        <v>0.70000030000000002</v>
      </c>
      <c r="AB167" s="94"/>
    </row>
    <row r="168" spans="1:28" ht="32.25" customHeight="1" x14ac:dyDescent="0.25">
      <c r="A168" s="40" t="s">
        <v>626</v>
      </c>
      <c r="B168" s="41" t="s">
        <v>688</v>
      </c>
      <c r="C168" s="39" t="s">
        <v>643</v>
      </c>
      <c r="D168" s="35"/>
      <c r="E168" s="35"/>
      <c r="F168" s="35"/>
      <c r="G168" s="36"/>
      <c r="H168" s="33"/>
      <c r="I168" s="36"/>
      <c r="J168" s="33"/>
      <c r="K168" s="36"/>
      <c r="L168" s="33"/>
      <c r="M168" s="34"/>
      <c r="N168" s="38">
        <v>4662</v>
      </c>
      <c r="O168" s="58">
        <f t="shared" si="65"/>
        <v>5174.82</v>
      </c>
      <c r="P168" s="131">
        <v>8700</v>
      </c>
      <c r="Q168" s="141">
        <f t="shared" si="66"/>
        <v>0.40519310344827586</v>
      </c>
      <c r="R168" s="142">
        <v>8700</v>
      </c>
      <c r="S168" s="97">
        <f t="shared" si="50"/>
        <v>0.40519310344827586</v>
      </c>
      <c r="T168" s="119">
        <v>8700</v>
      </c>
      <c r="U168" s="52">
        <f t="shared" si="49"/>
        <v>0.40519310344827586</v>
      </c>
      <c r="V168" s="101">
        <v>10300</v>
      </c>
      <c r="W168" s="52">
        <f t="shared" si="51"/>
        <v>0.49759029126213589</v>
      </c>
      <c r="X168" s="101">
        <v>13000</v>
      </c>
      <c r="Y168" s="52">
        <f t="shared" si="52"/>
        <v>0.60193692307692293</v>
      </c>
      <c r="Z168" s="88">
        <v>17000</v>
      </c>
      <c r="AA168" s="52">
        <f t="shared" si="53"/>
        <v>0.69559882352941171</v>
      </c>
      <c r="AB168" s="94"/>
    </row>
    <row r="169" spans="1:28" ht="32.25" customHeight="1" x14ac:dyDescent="0.25">
      <c r="A169" s="40" t="s">
        <v>627</v>
      </c>
      <c r="B169" s="41" t="s">
        <v>689</v>
      </c>
      <c r="C169" s="39" t="s">
        <v>644</v>
      </c>
      <c r="D169" s="35"/>
      <c r="E169" s="35"/>
      <c r="F169" s="35"/>
      <c r="G169" s="36"/>
      <c r="H169" s="33"/>
      <c r="I169" s="36"/>
      <c r="J169" s="33"/>
      <c r="K169" s="36"/>
      <c r="L169" s="33"/>
      <c r="M169" s="34"/>
      <c r="N169" s="38">
        <v>5968</v>
      </c>
      <c r="O169" s="58">
        <f t="shared" si="65"/>
        <v>6624.48</v>
      </c>
      <c r="P169" s="131">
        <v>11200</v>
      </c>
      <c r="Q169" s="141">
        <f t="shared" si="66"/>
        <v>0.40852857142857135</v>
      </c>
      <c r="R169" s="142">
        <v>10200</v>
      </c>
      <c r="S169" s="97">
        <f t="shared" si="50"/>
        <v>0.35054117647058819</v>
      </c>
      <c r="T169" s="119">
        <v>11200</v>
      </c>
      <c r="U169" s="52">
        <f t="shared" si="49"/>
        <v>0.40852857142857135</v>
      </c>
      <c r="V169" s="101">
        <v>13200</v>
      </c>
      <c r="W169" s="52">
        <f t="shared" si="51"/>
        <v>0.49814545454545456</v>
      </c>
      <c r="X169" s="101">
        <v>16500</v>
      </c>
      <c r="Y169" s="52">
        <f t="shared" si="52"/>
        <v>0.59851636363636351</v>
      </c>
      <c r="Z169" s="88">
        <v>22000</v>
      </c>
      <c r="AA169" s="52">
        <f t="shared" si="53"/>
        <v>0.69888727272727269</v>
      </c>
      <c r="AB169" s="94"/>
    </row>
    <row r="170" spans="1:28" ht="32.25" customHeight="1" x14ac:dyDescent="0.25">
      <c r="A170" s="40" t="s">
        <v>628</v>
      </c>
      <c r="B170" s="43" t="s">
        <v>690</v>
      </c>
      <c r="C170" s="40" t="s">
        <v>450</v>
      </c>
      <c r="D170" s="71"/>
      <c r="E170" s="71"/>
      <c r="F170" s="71"/>
      <c r="G170" s="72"/>
      <c r="H170" s="73"/>
      <c r="I170" s="72"/>
      <c r="J170" s="73"/>
      <c r="K170" s="72"/>
      <c r="L170" s="73"/>
      <c r="M170" s="72"/>
      <c r="N170" s="38">
        <v>12799.99</v>
      </c>
      <c r="O170" s="68">
        <f t="shared" si="65"/>
        <v>14207.9889</v>
      </c>
      <c r="P170" s="86">
        <v>19000</v>
      </c>
      <c r="Q170" s="65">
        <f t="shared" ref="Q170:Q175" si="67">(P170/1.11-N170)/P170*1.11</f>
        <v>0.25221111052631573</v>
      </c>
      <c r="R170" s="84">
        <v>21800</v>
      </c>
      <c r="S170" s="97">
        <f t="shared" si="50"/>
        <v>0.34825738990825683</v>
      </c>
      <c r="T170" s="119">
        <v>24000</v>
      </c>
      <c r="U170" s="52">
        <f t="shared" si="49"/>
        <v>0.40800046249999994</v>
      </c>
      <c r="V170" s="102">
        <v>28600</v>
      </c>
      <c r="W170" s="52">
        <f t="shared" si="51"/>
        <v>0.50321717132867128</v>
      </c>
      <c r="X170" s="102">
        <v>35400</v>
      </c>
      <c r="Y170" s="52">
        <f t="shared" si="52"/>
        <v>0.59864438135593212</v>
      </c>
      <c r="Z170" s="86">
        <v>47000</v>
      </c>
      <c r="AA170" s="52">
        <f t="shared" si="53"/>
        <v>0.69770236382978723</v>
      </c>
      <c r="AB170" s="74"/>
    </row>
    <row r="171" spans="1:28" ht="32.25" customHeight="1" x14ac:dyDescent="0.25">
      <c r="A171" s="40" t="s">
        <v>629</v>
      </c>
      <c r="B171" s="43" t="s">
        <v>691</v>
      </c>
      <c r="C171" s="40" t="s">
        <v>451</v>
      </c>
      <c r="D171" s="71"/>
      <c r="E171" s="71"/>
      <c r="F171" s="71"/>
      <c r="G171" s="72"/>
      <c r="H171" s="73"/>
      <c r="I171" s="72"/>
      <c r="J171" s="73"/>
      <c r="K171" s="72"/>
      <c r="L171" s="73"/>
      <c r="M171" s="72"/>
      <c r="N171" s="38">
        <v>12799.99</v>
      </c>
      <c r="O171" s="68">
        <f t="shared" si="65"/>
        <v>14207.9889</v>
      </c>
      <c r="P171" s="125">
        <v>19000</v>
      </c>
      <c r="Q171" s="65">
        <f t="shared" si="67"/>
        <v>0.25221111052631573</v>
      </c>
      <c r="R171" s="84">
        <v>21800</v>
      </c>
      <c r="S171" s="97">
        <f t="shared" si="50"/>
        <v>0.34825738990825683</v>
      </c>
      <c r="T171" s="119">
        <v>24000</v>
      </c>
      <c r="U171" s="52">
        <f t="shared" si="49"/>
        <v>0.40800046249999994</v>
      </c>
      <c r="V171" s="102">
        <v>28600</v>
      </c>
      <c r="W171" s="52">
        <f t="shared" si="51"/>
        <v>0.50321717132867128</v>
      </c>
      <c r="X171" s="102">
        <v>35400</v>
      </c>
      <c r="Y171" s="52">
        <f t="shared" si="52"/>
        <v>0.59864438135593212</v>
      </c>
      <c r="Z171" s="86">
        <v>47000</v>
      </c>
      <c r="AA171" s="52">
        <f t="shared" si="53"/>
        <v>0.69770236382978723</v>
      </c>
      <c r="AB171" s="115"/>
    </row>
    <row r="172" spans="1:28" ht="32.25" customHeight="1" x14ac:dyDescent="0.25">
      <c r="A172" s="40" t="s">
        <v>630</v>
      </c>
      <c r="B172" s="43" t="s">
        <v>665</v>
      </c>
      <c r="C172" s="40" t="s">
        <v>669</v>
      </c>
      <c r="D172" s="71"/>
      <c r="E172" s="71"/>
      <c r="F172" s="71"/>
      <c r="G172" s="72"/>
      <c r="H172" s="73"/>
      <c r="I172" s="72"/>
      <c r="J172" s="73"/>
      <c r="K172" s="72"/>
      <c r="L172" s="73"/>
      <c r="M172" s="72"/>
      <c r="N172" s="38">
        <v>3800</v>
      </c>
      <c r="O172" s="68">
        <f t="shared" si="65"/>
        <v>4218</v>
      </c>
      <c r="P172" s="86">
        <v>6499</v>
      </c>
      <c r="Q172" s="65">
        <f t="shared" si="67"/>
        <v>0.35097707339590706</v>
      </c>
      <c r="R172" s="84">
        <v>6500</v>
      </c>
      <c r="S172" s="97">
        <f t="shared" si="50"/>
        <v>0.35107692307692301</v>
      </c>
      <c r="T172" s="135">
        <v>7200</v>
      </c>
      <c r="U172" s="52">
        <f t="shared" si="49"/>
        <v>0.41416666666666657</v>
      </c>
      <c r="V172" s="102">
        <v>8500</v>
      </c>
      <c r="W172" s="52">
        <f t="shared" si="51"/>
        <v>0.50376470588235289</v>
      </c>
      <c r="X172" s="102">
        <v>10600</v>
      </c>
      <c r="Y172" s="52">
        <f t="shared" si="52"/>
        <v>0.60207547169811326</v>
      </c>
      <c r="Z172" s="86">
        <v>14000</v>
      </c>
      <c r="AA172" s="52">
        <f t="shared" si="53"/>
        <v>0.69871428571428562</v>
      </c>
      <c r="AB172" s="74"/>
    </row>
    <row r="173" spans="1:28" ht="32.25" customHeight="1" x14ac:dyDescent="0.25">
      <c r="A173" s="40" t="s">
        <v>631</v>
      </c>
      <c r="B173" s="43" t="s">
        <v>663</v>
      </c>
      <c r="C173" s="40" t="s">
        <v>664</v>
      </c>
      <c r="D173" s="71"/>
      <c r="E173" s="71"/>
      <c r="F173" s="71"/>
      <c r="G173" s="72"/>
      <c r="H173" s="73"/>
      <c r="I173" s="72"/>
      <c r="J173" s="73"/>
      <c r="K173" s="72"/>
      <c r="L173" s="73"/>
      <c r="M173" s="72"/>
      <c r="N173" s="38">
        <v>3800</v>
      </c>
      <c r="O173" s="68">
        <f t="shared" si="65"/>
        <v>4218</v>
      </c>
      <c r="P173" s="86">
        <v>6499</v>
      </c>
      <c r="Q173" s="65">
        <f t="shared" si="67"/>
        <v>0.35097707339590706</v>
      </c>
      <c r="R173" s="84">
        <v>6500</v>
      </c>
      <c r="S173" s="97">
        <f t="shared" si="50"/>
        <v>0.35107692307692301</v>
      </c>
      <c r="T173" s="135">
        <v>7200</v>
      </c>
      <c r="U173" s="52">
        <f t="shared" si="49"/>
        <v>0.41416666666666657</v>
      </c>
      <c r="V173" s="102">
        <v>8500</v>
      </c>
      <c r="W173" s="52">
        <f t="shared" si="51"/>
        <v>0.50376470588235289</v>
      </c>
      <c r="X173" s="102">
        <v>10600</v>
      </c>
      <c r="Y173" s="52">
        <f t="shared" si="52"/>
        <v>0.60207547169811326</v>
      </c>
      <c r="Z173" s="86">
        <v>14000</v>
      </c>
      <c r="AA173" s="52">
        <f t="shared" si="53"/>
        <v>0.69871428571428562</v>
      </c>
      <c r="AB173" s="74"/>
    </row>
    <row r="174" spans="1:28" ht="32.25" customHeight="1" x14ac:dyDescent="0.25">
      <c r="A174" s="40" t="s">
        <v>632</v>
      </c>
      <c r="B174" s="43" t="s">
        <v>670</v>
      </c>
      <c r="C174" s="40" t="s">
        <v>666</v>
      </c>
      <c r="D174" s="71"/>
      <c r="E174" s="71"/>
      <c r="F174" s="71"/>
      <c r="G174" s="72"/>
      <c r="H174" s="73"/>
      <c r="I174" s="72"/>
      <c r="J174" s="73"/>
      <c r="K174" s="72"/>
      <c r="L174" s="73"/>
      <c r="M174" s="72"/>
      <c r="N174" s="38">
        <v>6200</v>
      </c>
      <c r="O174" s="68">
        <f t="shared" si="65"/>
        <v>6882</v>
      </c>
      <c r="P174" s="86">
        <v>9900</v>
      </c>
      <c r="Q174" s="65">
        <f t="shared" si="67"/>
        <v>0.30484848484848481</v>
      </c>
      <c r="R174" s="84">
        <v>10600</v>
      </c>
      <c r="S174" s="97">
        <f t="shared" si="50"/>
        <v>0.35075471698113203</v>
      </c>
      <c r="T174" s="135">
        <v>11600</v>
      </c>
      <c r="U174" s="52">
        <f t="shared" si="49"/>
        <v>0.4067241379310344</v>
      </c>
      <c r="V174" s="102">
        <v>13800</v>
      </c>
      <c r="W174" s="52">
        <f t="shared" si="51"/>
        <v>0.5013043478260869</v>
      </c>
      <c r="X174" s="102">
        <v>17000</v>
      </c>
      <c r="Y174" s="52">
        <f t="shared" si="52"/>
        <v>0.59517647058823531</v>
      </c>
      <c r="Z174" s="86">
        <v>22800</v>
      </c>
      <c r="AA174" s="52">
        <f t="shared" si="53"/>
        <v>0.69815789473684209</v>
      </c>
      <c r="AB174" s="74"/>
    </row>
    <row r="175" spans="1:28" ht="32.25" customHeight="1" x14ac:dyDescent="0.25">
      <c r="A175" s="40" t="s">
        <v>633</v>
      </c>
      <c r="B175" s="43" t="s">
        <v>667</v>
      </c>
      <c r="C175" s="40" t="s">
        <v>668</v>
      </c>
      <c r="D175" s="71"/>
      <c r="E175" s="71"/>
      <c r="F175" s="71"/>
      <c r="G175" s="72"/>
      <c r="H175" s="73"/>
      <c r="I175" s="72"/>
      <c r="J175" s="73"/>
      <c r="K175" s="72"/>
      <c r="L175" s="73"/>
      <c r="M175" s="72"/>
      <c r="N175" s="38">
        <v>4504.5</v>
      </c>
      <c r="O175" s="68">
        <f t="shared" si="65"/>
        <v>4999.9949999999999</v>
      </c>
      <c r="P175" s="86">
        <v>7500</v>
      </c>
      <c r="Q175" s="65">
        <f t="shared" si="67"/>
        <v>0.33333399999999991</v>
      </c>
      <c r="R175" s="84">
        <v>7700</v>
      </c>
      <c r="S175" s="97">
        <f t="shared" si="50"/>
        <v>0.35064999999999991</v>
      </c>
      <c r="T175" s="135">
        <v>8500</v>
      </c>
      <c r="U175" s="52">
        <f t="shared" si="49"/>
        <v>0.41176529411764701</v>
      </c>
      <c r="V175" s="102">
        <v>10000</v>
      </c>
      <c r="W175" s="52">
        <f t="shared" si="51"/>
        <v>0.50000050000000007</v>
      </c>
      <c r="X175" s="102">
        <v>12400</v>
      </c>
      <c r="Y175" s="52">
        <f t="shared" si="52"/>
        <v>0.59677459677419364</v>
      </c>
      <c r="Z175" s="86">
        <v>16400</v>
      </c>
      <c r="AA175" s="52">
        <f t="shared" si="53"/>
        <v>0.69512225609756095</v>
      </c>
      <c r="AB175" s="74"/>
    </row>
    <row r="176" spans="1:28" ht="32.25" customHeight="1" x14ac:dyDescent="0.25">
      <c r="A176" s="40" t="s">
        <v>634</v>
      </c>
      <c r="B176" s="41" t="s">
        <v>679</v>
      </c>
      <c r="C176" s="77" t="s">
        <v>460</v>
      </c>
      <c r="D176" s="35"/>
      <c r="E176" s="35"/>
      <c r="F176" s="35"/>
      <c r="G176" s="36"/>
      <c r="H176" s="33"/>
      <c r="I176" s="36"/>
      <c r="J176" s="33"/>
      <c r="K176" s="36"/>
      <c r="L176" s="33"/>
      <c r="M176" s="34"/>
      <c r="N176" s="38">
        <v>8329</v>
      </c>
      <c r="O176" s="119">
        <f t="shared" si="65"/>
        <v>9245.19</v>
      </c>
      <c r="P176" s="82"/>
      <c r="Q176" s="98"/>
      <c r="R176" s="82"/>
      <c r="S176" s="98"/>
      <c r="T176" s="38"/>
      <c r="U176" s="89"/>
      <c r="V176" s="116"/>
      <c r="W176" s="87"/>
      <c r="X176" s="116"/>
      <c r="Y176" s="87"/>
      <c r="Z176" s="82"/>
      <c r="AA176" s="87"/>
      <c r="AB176" s="70"/>
    </row>
    <row r="177" spans="1:28" ht="32.25" customHeight="1" x14ac:dyDescent="0.25">
      <c r="A177" s="40" t="s">
        <v>635</v>
      </c>
      <c r="B177" s="41" t="s">
        <v>453</v>
      </c>
      <c r="C177" s="77" t="s">
        <v>461</v>
      </c>
      <c r="D177" s="35"/>
      <c r="E177" s="35"/>
      <c r="F177" s="35"/>
      <c r="G177" s="36"/>
      <c r="H177" s="33"/>
      <c r="I177" s="36"/>
      <c r="J177" s="33"/>
      <c r="K177" s="36"/>
      <c r="L177" s="33"/>
      <c r="M177" s="34"/>
      <c r="N177" s="38">
        <v>8329</v>
      </c>
      <c r="O177" s="119">
        <f t="shared" si="65"/>
        <v>9245.19</v>
      </c>
      <c r="P177" s="82"/>
      <c r="Q177" s="98"/>
      <c r="R177" s="82"/>
      <c r="S177" s="98"/>
      <c r="T177" s="38"/>
      <c r="U177" s="89"/>
      <c r="V177" s="116"/>
      <c r="W177" s="87"/>
      <c r="X177" s="116"/>
      <c r="Y177" s="87"/>
      <c r="Z177" s="82"/>
      <c r="AA177" s="87"/>
      <c r="AB177" s="70"/>
    </row>
    <row r="178" spans="1:28" ht="32.25" customHeight="1" x14ac:dyDescent="0.25">
      <c r="A178" s="40" t="s">
        <v>636</v>
      </c>
      <c r="B178" s="41" t="s">
        <v>454</v>
      </c>
      <c r="C178" s="77" t="s">
        <v>462</v>
      </c>
      <c r="D178" s="35"/>
      <c r="E178" s="35"/>
      <c r="F178" s="35"/>
      <c r="G178" s="36"/>
      <c r="H178" s="33"/>
      <c r="I178" s="36"/>
      <c r="J178" s="33"/>
      <c r="K178" s="36"/>
      <c r="L178" s="33"/>
      <c r="M178" s="34"/>
      <c r="N178" s="38">
        <v>8328.82</v>
      </c>
      <c r="O178" s="119">
        <f t="shared" si="65"/>
        <v>9244.9902000000002</v>
      </c>
      <c r="P178" s="82"/>
      <c r="Q178" s="98"/>
      <c r="R178" s="82"/>
      <c r="S178" s="98"/>
      <c r="T178" s="38"/>
      <c r="U178" s="89"/>
      <c r="V178" s="116"/>
      <c r="W178" s="87"/>
      <c r="X178" s="116"/>
      <c r="Y178" s="87"/>
      <c r="Z178" s="82"/>
      <c r="AA178" s="87"/>
      <c r="AB178" s="70"/>
    </row>
    <row r="179" spans="1:28" ht="32.25" customHeight="1" x14ac:dyDescent="0.25">
      <c r="A179" s="40" t="s">
        <v>637</v>
      </c>
      <c r="B179" s="41" t="s">
        <v>459</v>
      </c>
      <c r="C179" s="77" t="s">
        <v>463</v>
      </c>
      <c r="D179" s="35"/>
      <c r="E179" s="35"/>
      <c r="F179" s="35"/>
      <c r="G179" s="36"/>
      <c r="H179" s="33"/>
      <c r="I179" s="36"/>
      <c r="J179" s="33"/>
      <c r="K179" s="36"/>
      <c r="L179" s="33"/>
      <c r="M179" s="34"/>
      <c r="N179" s="38">
        <v>12090</v>
      </c>
      <c r="O179" s="119">
        <f t="shared" si="65"/>
        <v>13419.9</v>
      </c>
      <c r="P179" s="82"/>
      <c r="Q179" s="98"/>
      <c r="R179" s="82"/>
      <c r="S179" s="98"/>
      <c r="T179" s="38"/>
      <c r="U179" s="89"/>
      <c r="V179" s="116"/>
      <c r="W179" s="87"/>
      <c r="X179" s="116"/>
      <c r="Y179" s="87"/>
      <c r="Z179" s="82"/>
      <c r="AA179" s="87"/>
      <c r="AB179" s="70"/>
    </row>
    <row r="180" spans="1:28" ht="32.25" customHeight="1" x14ac:dyDescent="0.25">
      <c r="A180" s="40" t="s">
        <v>661</v>
      </c>
      <c r="B180" s="41" t="s">
        <v>455</v>
      </c>
      <c r="C180" s="77" t="s">
        <v>464</v>
      </c>
      <c r="D180" s="35"/>
      <c r="E180" s="35"/>
      <c r="F180" s="35"/>
      <c r="G180" s="36"/>
      <c r="H180" s="33"/>
      <c r="I180" s="36"/>
      <c r="J180" s="33"/>
      <c r="K180" s="36"/>
      <c r="L180" s="33"/>
      <c r="M180" s="34"/>
      <c r="N180" s="38">
        <v>15314</v>
      </c>
      <c r="O180" s="119">
        <f t="shared" si="65"/>
        <v>16998.54</v>
      </c>
      <c r="P180" s="82"/>
      <c r="Q180" s="98"/>
      <c r="R180" s="82"/>
      <c r="S180" s="98"/>
      <c r="T180" s="38"/>
      <c r="U180" s="89"/>
      <c r="V180" s="116"/>
      <c r="W180" s="87"/>
      <c r="X180" s="116"/>
      <c r="Y180" s="87"/>
      <c r="Z180" s="82"/>
      <c r="AA180" s="87"/>
      <c r="AB180" s="70"/>
    </row>
    <row r="181" spans="1:28" ht="32.25" customHeight="1" x14ac:dyDescent="0.25">
      <c r="A181" s="40" t="s">
        <v>662</v>
      </c>
      <c r="B181" s="41" t="s">
        <v>456</v>
      </c>
      <c r="C181" s="77" t="s">
        <v>465</v>
      </c>
      <c r="D181" s="35"/>
      <c r="E181" s="35"/>
      <c r="F181" s="35"/>
      <c r="G181" s="36"/>
      <c r="H181" s="33"/>
      <c r="I181" s="36"/>
      <c r="J181" s="33"/>
      <c r="K181" s="36"/>
      <c r="L181" s="33"/>
      <c r="M181" s="34"/>
      <c r="N181" s="38">
        <v>15314</v>
      </c>
      <c r="O181" s="119">
        <f t="shared" si="65"/>
        <v>16998.54</v>
      </c>
      <c r="P181" s="82"/>
      <c r="Q181" s="98"/>
      <c r="R181" s="82"/>
      <c r="S181" s="98"/>
      <c r="T181" s="38"/>
      <c r="U181" s="89"/>
      <c r="V181" s="116"/>
      <c r="W181" s="87"/>
      <c r="X181" s="116"/>
      <c r="Y181" s="87"/>
      <c r="Z181" s="82"/>
      <c r="AA181" s="87"/>
      <c r="AB181" s="70"/>
    </row>
    <row r="182" spans="1:28" ht="32.25" customHeight="1" x14ac:dyDescent="0.25">
      <c r="A182" s="40" t="s">
        <v>638</v>
      </c>
      <c r="B182" s="41" t="s">
        <v>457</v>
      </c>
      <c r="C182" s="77" t="s">
        <v>466</v>
      </c>
      <c r="D182" s="35"/>
      <c r="E182" s="35"/>
      <c r="F182" s="35"/>
      <c r="G182" s="36"/>
      <c r="H182" s="33"/>
      <c r="I182" s="36"/>
      <c r="J182" s="33"/>
      <c r="K182" s="36"/>
      <c r="L182" s="33"/>
      <c r="M182" s="34"/>
      <c r="N182" s="38">
        <v>15314.41</v>
      </c>
      <c r="O182" s="119">
        <f t="shared" si="65"/>
        <v>16998.9951</v>
      </c>
      <c r="P182" s="82"/>
      <c r="Q182" s="98"/>
      <c r="R182" s="82"/>
      <c r="S182" s="98"/>
      <c r="T182" s="38"/>
      <c r="U182" s="89"/>
      <c r="V182" s="116"/>
      <c r="W182" s="87"/>
      <c r="X182" s="116"/>
      <c r="Y182" s="87"/>
      <c r="Z182" s="82"/>
      <c r="AA182" s="87"/>
      <c r="AB182" s="70"/>
    </row>
    <row r="183" spans="1:28" ht="32.25" customHeight="1" x14ac:dyDescent="0.25">
      <c r="A183" s="40" t="s">
        <v>639</v>
      </c>
      <c r="B183" s="41" t="s">
        <v>458</v>
      </c>
      <c r="C183" s="77" t="s">
        <v>467</v>
      </c>
      <c r="D183" s="35"/>
      <c r="E183" s="35"/>
      <c r="F183" s="35"/>
      <c r="G183" s="36"/>
      <c r="H183" s="33"/>
      <c r="I183" s="36"/>
      <c r="J183" s="33"/>
      <c r="K183" s="36"/>
      <c r="L183" s="33"/>
      <c r="M183" s="34"/>
      <c r="N183" s="38">
        <v>7737.37</v>
      </c>
      <c r="O183" s="119">
        <f t="shared" si="65"/>
        <v>8588.4807000000001</v>
      </c>
      <c r="P183" s="82"/>
      <c r="Q183" s="98"/>
      <c r="R183" s="82"/>
      <c r="S183" s="98"/>
      <c r="T183" s="38"/>
      <c r="U183" s="89"/>
      <c r="V183" s="116"/>
      <c r="W183" s="87"/>
      <c r="X183" s="116"/>
      <c r="Y183" s="87"/>
      <c r="Z183" s="82"/>
      <c r="AA183" s="87"/>
      <c r="AB183" s="70"/>
    </row>
    <row r="184" spans="1:28" ht="22.5" customHeight="1" x14ac:dyDescent="0.25">
      <c r="A184" s="40" t="s">
        <v>640</v>
      </c>
      <c r="B184" s="118" t="s">
        <v>369</v>
      </c>
      <c r="C184" s="90">
        <v>6920238081012</v>
      </c>
      <c r="D184" s="37">
        <v>13700</v>
      </c>
      <c r="E184" s="37">
        <f t="shared" ref="E184:E189" si="68">(D184*11%)+D184</f>
        <v>15207</v>
      </c>
      <c r="F184" s="35">
        <v>25900</v>
      </c>
      <c r="G184" s="36">
        <f t="shared" ref="G184:G189" si="69">(F184/1.11-D184)/F184*1.11</f>
        <v>0.41285714285714287</v>
      </c>
      <c r="H184" s="37">
        <v>51500</v>
      </c>
      <c r="I184" s="36">
        <f>(H184/1.11-D184)/H184*1.11</f>
        <v>0.70471844660194161</v>
      </c>
      <c r="J184" s="33">
        <v>21499</v>
      </c>
      <c r="K184" s="36">
        <f t="shared" ref="K184:K189" si="70">(J184/1.11-D184)/J184*1.11</f>
        <v>0.29266477510581879</v>
      </c>
      <c r="L184" s="54">
        <v>23500</v>
      </c>
      <c r="M184" s="36">
        <f t="shared" ref="M184:M189" si="71">(L184/1.11-D184)/L184*1.11</f>
        <v>0.35289361702127653</v>
      </c>
      <c r="N184" s="38"/>
      <c r="O184" s="38">
        <f t="shared" ref="O184:O189" si="72">(N184*11%)+N184</f>
        <v>0</v>
      </c>
      <c r="P184" s="84"/>
      <c r="Q184" s="65" t="e">
        <f t="shared" ref="Q184:Q189" si="73">(P184/1.11-N184)/P184*1.11</f>
        <v>#DIV/0!</v>
      </c>
      <c r="R184" s="82"/>
      <c r="S184" s="97" t="e">
        <f t="shared" ref="S184:S189" si="74">(R184/1.11-N184)/R184*1.11</f>
        <v>#DIV/0!</v>
      </c>
      <c r="T184" s="66"/>
      <c r="U184" s="52" t="e">
        <f t="shared" ref="U184:U189" si="75">(T184/1.11-N184)/T184*1.11</f>
        <v>#DIV/0!</v>
      </c>
      <c r="V184" s="82"/>
      <c r="W184" s="52" t="e">
        <f t="shared" ref="W184:W189" si="76">(V184/1.11-N184)/V184*1.11</f>
        <v>#DIV/0!</v>
      </c>
      <c r="X184" s="82"/>
      <c r="Y184" s="52" t="e">
        <f t="shared" ref="Y184:Y189" si="77">(X184/1.11-N184)/X184*1.11</f>
        <v>#DIV/0!</v>
      </c>
      <c r="Z184" s="82"/>
      <c r="AA184" s="52" t="e">
        <f t="shared" ref="AA184:AA189" si="78">(Z184/1.11-N184)/Z184*1.11</f>
        <v>#DIV/0!</v>
      </c>
      <c r="AB184" s="111">
        <f t="shared" ref="AB184:AB189" si="79">J184+300</f>
        <v>21799</v>
      </c>
    </row>
    <row r="185" spans="1:28" s="26" customFormat="1" ht="20.25" customHeight="1" x14ac:dyDescent="0.25">
      <c r="A185" s="40" t="s">
        <v>641</v>
      </c>
      <c r="B185" s="118" t="s">
        <v>378</v>
      </c>
      <c r="C185" s="90">
        <v>8991002504158</v>
      </c>
      <c r="D185" s="37">
        <v>7640</v>
      </c>
      <c r="E185" s="37">
        <f t="shared" si="68"/>
        <v>8480.4</v>
      </c>
      <c r="F185" s="35">
        <v>14400</v>
      </c>
      <c r="G185" s="36">
        <f t="shared" si="69"/>
        <v>0.41108333333333325</v>
      </c>
      <c r="H185" s="37">
        <v>28700</v>
      </c>
      <c r="I185" s="36">
        <f>(H185/1.11-D185)/H185*1.11</f>
        <v>0.7045156794425087</v>
      </c>
      <c r="J185" s="33">
        <v>11000</v>
      </c>
      <c r="K185" s="36">
        <f t="shared" si="70"/>
        <v>0.22905454545454543</v>
      </c>
      <c r="L185" s="54">
        <v>13100</v>
      </c>
      <c r="M185" s="36">
        <f t="shared" si="71"/>
        <v>0.3526412213740458</v>
      </c>
      <c r="N185" s="38"/>
      <c r="O185" s="38">
        <f t="shared" si="72"/>
        <v>0</v>
      </c>
      <c r="P185" s="109"/>
      <c r="Q185" s="65" t="e">
        <f t="shared" si="73"/>
        <v>#DIV/0!</v>
      </c>
      <c r="R185" s="85"/>
      <c r="S185" s="97" t="e">
        <f t="shared" si="74"/>
        <v>#DIV/0!</v>
      </c>
      <c r="T185" s="67"/>
      <c r="U185" s="52" t="e">
        <f t="shared" si="75"/>
        <v>#DIV/0!</v>
      </c>
      <c r="V185" s="85"/>
      <c r="W185" s="52" t="e">
        <f t="shared" si="76"/>
        <v>#DIV/0!</v>
      </c>
      <c r="X185" s="85"/>
      <c r="Y185" s="52" t="e">
        <f t="shared" si="77"/>
        <v>#DIV/0!</v>
      </c>
      <c r="Z185" s="85"/>
      <c r="AA185" s="52" t="e">
        <f t="shared" si="78"/>
        <v>#DIV/0!</v>
      </c>
      <c r="AB185" s="111">
        <f t="shared" si="79"/>
        <v>11300</v>
      </c>
    </row>
    <row r="186" spans="1:28" ht="27.75" customHeight="1" x14ac:dyDescent="0.25">
      <c r="A186" s="40" t="s">
        <v>671</v>
      </c>
      <c r="B186" s="118" t="s">
        <v>135</v>
      </c>
      <c r="C186" s="90">
        <v>6920238081067</v>
      </c>
      <c r="D186" s="37">
        <v>12700</v>
      </c>
      <c r="E186" s="37">
        <f t="shared" si="68"/>
        <v>14097</v>
      </c>
      <c r="F186" s="35">
        <v>24000</v>
      </c>
      <c r="G186" s="36">
        <f t="shared" si="69"/>
        <v>0.41262499999999996</v>
      </c>
      <c r="H186" s="37">
        <v>47700</v>
      </c>
      <c r="I186" s="36">
        <f>(H186/1.11-D186)/H186*1.11</f>
        <v>0.70446540880503128</v>
      </c>
      <c r="J186" s="37">
        <v>17600</v>
      </c>
      <c r="K186" s="36">
        <f t="shared" si="70"/>
        <v>0.19903409090909083</v>
      </c>
      <c r="L186" s="54">
        <v>21800</v>
      </c>
      <c r="M186" s="36">
        <f t="shared" si="71"/>
        <v>0.35334862385321092</v>
      </c>
      <c r="N186" s="38"/>
      <c r="O186" s="38">
        <f t="shared" si="72"/>
        <v>0</v>
      </c>
      <c r="P186" s="84"/>
      <c r="Q186" s="65" t="e">
        <f t="shared" si="73"/>
        <v>#DIV/0!</v>
      </c>
      <c r="R186" s="82"/>
      <c r="S186" s="97" t="e">
        <f t="shared" si="74"/>
        <v>#DIV/0!</v>
      </c>
      <c r="T186" s="38"/>
      <c r="U186" s="52" t="e">
        <f t="shared" si="75"/>
        <v>#DIV/0!</v>
      </c>
      <c r="V186" s="82"/>
      <c r="W186" s="52" t="e">
        <f t="shared" si="76"/>
        <v>#DIV/0!</v>
      </c>
      <c r="X186" s="82"/>
      <c r="Y186" s="52" t="e">
        <f t="shared" si="77"/>
        <v>#DIV/0!</v>
      </c>
      <c r="Z186" s="82"/>
      <c r="AA186" s="52" t="e">
        <f t="shared" si="78"/>
        <v>#DIV/0!</v>
      </c>
      <c r="AB186" s="111">
        <f t="shared" si="79"/>
        <v>17900</v>
      </c>
    </row>
    <row r="187" spans="1:28" ht="23.25" customHeight="1" x14ac:dyDescent="0.25">
      <c r="A187" s="40" t="s">
        <v>672</v>
      </c>
      <c r="B187" s="118" t="s">
        <v>396</v>
      </c>
      <c r="C187" s="91" t="s">
        <v>324</v>
      </c>
      <c r="D187" s="37">
        <v>4856</v>
      </c>
      <c r="E187" s="37">
        <f t="shared" si="68"/>
        <v>5390.16</v>
      </c>
      <c r="F187" s="35">
        <v>9200</v>
      </c>
      <c r="G187" s="36">
        <f t="shared" si="69"/>
        <v>0.41411304347826083</v>
      </c>
      <c r="H187" s="37">
        <v>18200</v>
      </c>
      <c r="I187" s="36">
        <f>(H187/1.11-D187)/H187*1.11</f>
        <v>0.70383736263736252</v>
      </c>
      <c r="J187" s="37">
        <v>7200</v>
      </c>
      <c r="K187" s="36">
        <f t="shared" si="70"/>
        <v>0.25136666666666657</v>
      </c>
      <c r="L187" s="54">
        <v>8300</v>
      </c>
      <c r="M187" s="36">
        <f t="shared" si="71"/>
        <v>0.35058313253012041</v>
      </c>
      <c r="N187" s="38"/>
      <c r="O187" s="38">
        <f t="shared" si="72"/>
        <v>0</v>
      </c>
      <c r="P187" s="107"/>
      <c r="Q187" s="97" t="e">
        <f t="shared" si="73"/>
        <v>#DIV/0!</v>
      </c>
      <c r="R187" s="82"/>
      <c r="S187" s="97" t="e">
        <f t="shared" si="74"/>
        <v>#DIV/0!</v>
      </c>
      <c r="T187" s="66"/>
      <c r="U187" s="52" t="e">
        <f t="shared" si="75"/>
        <v>#DIV/0!</v>
      </c>
      <c r="V187" s="82"/>
      <c r="W187" s="52" t="e">
        <f t="shared" si="76"/>
        <v>#DIV/0!</v>
      </c>
      <c r="X187" s="82"/>
      <c r="Y187" s="52" t="e">
        <f t="shared" si="77"/>
        <v>#DIV/0!</v>
      </c>
      <c r="Z187" s="82"/>
      <c r="AA187" s="52" t="e">
        <f t="shared" si="78"/>
        <v>#DIV/0!</v>
      </c>
      <c r="AB187" s="111">
        <f t="shared" si="79"/>
        <v>7500</v>
      </c>
    </row>
    <row r="188" spans="1:28" ht="26.25" customHeight="1" x14ac:dyDescent="0.25">
      <c r="A188" s="40" t="s">
        <v>673</v>
      </c>
      <c r="B188" s="118" t="s">
        <v>395</v>
      </c>
      <c r="C188" s="91" t="s">
        <v>325</v>
      </c>
      <c r="D188" s="37">
        <v>4856</v>
      </c>
      <c r="E188" s="37">
        <f t="shared" si="68"/>
        <v>5390.16</v>
      </c>
      <c r="F188" s="35">
        <v>9200</v>
      </c>
      <c r="G188" s="36">
        <f t="shared" si="69"/>
        <v>0.41411304347826083</v>
      </c>
      <c r="H188" s="37">
        <v>18200</v>
      </c>
      <c r="I188" s="36">
        <f>(H188/1.11-D188)/H188*1.11</f>
        <v>0.70383736263736252</v>
      </c>
      <c r="J188" s="37">
        <v>7200</v>
      </c>
      <c r="K188" s="36">
        <f t="shared" si="70"/>
        <v>0.25136666666666657</v>
      </c>
      <c r="L188" s="54">
        <v>8300</v>
      </c>
      <c r="M188" s="36">
        <f t="shared" si="71"/>
        <v>0.35058313253012041</v>
      </c>
      <c r="N188" s="38"/>
      <c r="O188" s="38">
        <f t="shared" si="72"/>
        <v>0</v>
      </c>
      <c r="P188" s="84"/>
      <c r="Q188" s="97" t="e">
        <f t="shared" si="73"/>
        <v>#DIV/0!</v>
      </c>
      <c r="R188" s="82"/>
      <c r="S188" s="97" t="e">
        <f t="shared" si="74"/>
        <v>#DIV/0!</v>
      </c>
      <c r="T188" s="38"/>
      <c r="U188" s="52" t="e">
        <f t="shared" si="75"/>
        <v>#DIV/0!</v>
      </c>
      <c r="V188" s="82"/>
      <c r="W188" s="52" t="e">
        <f t="shared" si="76"/>
        <v>#DIV/0!</v>
      </c>
      <c r="X188" s="82"/>
      <c r="Y188" s="52" t="e">
        <f t="shared" si="77"/>
        <v>#DIV/0!</v>
      </c>
      <c r="Z188" s="82"/>
      <c r="AA188" s="52" t="e">
        <f t="shared" si="78"/>
        <v>#DIV/0!</v>
      </c>
      <c r="AB188" s="111">
        <f t="shared" si="79"/>
        <v>7500</v>
      </c>
    </row>
    <row r="189" spans="1:28" ht="23.25" customHeight="1" x14ac:dyDescent="0.25">
      <c r="A189" s="40" t="s">
        <v>674</v>
      </c>
      <c r="B189" s="118" t="s">
        <v>389</v>
      </c>
      <c r="C189" s="90">
        <v>8992752011408</v>
      </c>
      <c r="D189" s="37">
        <v>1411</v>
      </c>
      <c r="E189" s="37">
        <f t="shared" si="68"/>
        <v>1566.21</v>
      </c>
      <c r="F189" s="35">
        <v>3300</v>
      </c>
      <c r="G189" s="36">
        <f t="shared" si="69"/>
        <v>0.52539090909090913</v>
      </c>
      <c r="H189" s="37" t="s">
        <v>4</v>
      </c>
      <c r="I189" s="37" t="s">
        <v>4</v>
      </c>
      <c r="J189" s="37">
        <v>3600</v>
      </c>
      <c r="K189" s="36">
        <f t="shared" si="70"/>
        <v>0.56494166666666668</v>
      </c>
      <c r="L189" s="54">
        <v>2400</v>
      </c>
      <c r="M189" s="36">
        <f t="shared" si="71"/>
        <v>0.34741250000000001</v>
      </c>
      <c r="N189" s="38"/>
      <c r="O189" s="38">
        <f t="shared" si="72"/>
        <v>0</v>
      </c>
      <c r="P189" s="84"/>
      <c r="Q189" s="65" t="e">
        <f t="shared" si="73"/>
        <v>#DIV/0!</v>
      </c>
      <c r="R189" s="82"/>
      <c r="S189" s="97" t="e">
        <f t="shared" si="74"/>
        <v>#DIV/0!</v>
      </c>
      <c r="T189" s="38"/>
      <c r="U189" s="52" t="e">
        <f t="shared" si="75"/>
        <v>#DIV/0!</v>
      </c>
      <c r="V189" s="82"/>
      <c r="W189" s="52" t="e">
        <f t="shared" si="76"/>
        <v>#DIV/0!</v>
      </c>
      <c r="X189" s="82"/>
      <c r="Y189" s="52" t="e">
        <f t="shared" si="77"/>
        <v>#DIV/0!</v>
      </c>
      <c r="Z189" s="82"/>
      <c r="AA189" s="52" t="e">
        <f t="shared" si="78"/>
        <v>#DIV/0!</v>
      </c>
      <c r="AB189" s="111">
        <f t="shared" si="79"/>
        <v>3900</v>
      </c>
    </row>
  </sheetData>
  <autoFilter ref="A1:AA189" xr:uid="{8BE487D8-BFC7-4642-B577-A56F6E2D4059}"/>
  <phoneticPr fontId="52" type="noConversion"/>
  <conditionalFormatting sqref="B125">
    <cfRule type="duplicateValues" dxfId="6" priority="14"/>
  </conditionalFormatting>
  <conditionalFormatting sqref="B126">
    <cfRule type="duplicateValues" dxfId="5" priority="13"/>
  </conditionalFormatting>
  <conditionalFormatting sqref="B127:B129">
    <cfRule type="duplicateValues" dxfId="4" priority="12"/>
  </conditionalFormatting>
  <conditionalFormatting sqref="B135">
    <cfRule type="duplicateValues" dxfId="3" priority="9"/>
  </conditionalFormatting>
  <conditionalFormatting sqref="B187 B130">
    <cfRule type="duplicateValues" dxfId="2" priority="11"/>
  </conditionalFormatting>
  <conditionalFormatting sqref="B188 B131:B134">
    <cfRule type="duplicateValues" dxfId="1" priority="15"/>
  </conditionalFormatting>
  <pageMargins left="0.7" right="0.7" top="0.75" bottom="0.75" header="0.3" footer="0.3"/>
  <pageSetup paperSize="9" scale="51" orientation="portrait" verticalDpi="360" r:id="rId1"/>
  <colBreaks count="1" manualBreakCount="1">
    <brk id="19" max="188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2A45-7291-4D66-B00D-EF66A7D3C69B}">
  <dimension ref="B2:F190"/>
  <sheetViews>
    <sheetView topLeftCell="A79" workbookViewId="0">
      <selection activeCell="F87" sqref="F87"/>
    </sheetView>
  </sheetViews>
  <sheetFormatPr defaultRowHeight="15" x14ac:dyDescent="0.25"/>
  <cols>
    <col min="2" max="2" width="40.5703125" customWidth="1"/>
    <col min="4" max="4" width="44.85546875" customWidth="1"/>
  </cols>
  <sheetData>
    <row r="2" spans="2:6" x14ac:dyDescent="0.25">
      <c r="B2" s="17" t="s">
        <v>319</v>
      </c>
      <c r="D2" s="17" t="s">
        <v>318</v>
      </c>
    </row>
    <row r="4" spans="2:6" x14ac:dyDescent="0.25">
      <c r="B4" s="14" t="s">
        <v>65</v>
      </c>
      <c r="D4" s="21" t="s">
        <v>239</v>
      </c>
    </row>
    <row r="5" spans="2:6" x14ac:dyDescent="0.25">
      <c r="B5" s="14" t="s">
        <v>73</v>
      </c>
      <c r="D5" s="13" t="s">
        <v>261</v>
      </c>
    </row>
    <row r="6" spans="2:6" x14ac:dyDescent="0.25">
      <c r="B6" s="20" t="s">
        <v>50</v>
      </c>
      <c r="D6" t="s">
        <v>21</v>
      </c>
    </row>
    <row r="7" spans="2:6" x14ac:dyDescent="0.25">
      <c r="B7" s="14" t="s">
        <v>118</v>
      </c>
      <c r="D7" s="21" t="s">
        <v>264</v>
      </c>
      <c r="F7" s="19"/>
    </row>
    <row r="8" spans="2:6" x14ac:dyDescent="0.25">
      <c r="B8" s="14" t="s">
        <v>60</v>
      </c>
      <c r="D8" s="13" t="s">
        <v>234</v>
      </c>
    </row>
    <row r="9" spans="2:6" x14ac:dyDescent="0.25">
      <c r="B9" s="20" t="s">
        <v>64</v>
      </c>
      <c r="D9" s="13" t="s">
        <v>259</v>
      </c>
    </row>
    <row r="10" spans="2:6" x14ac:dyDescent="0.25">
      <c r="B10" s="18" t="s">
        <v>223</v>
      </c>
      <c r="D10" t="s">
        <v>7</v>
      </c>
    </row>
    <row r="11" spans="2:6" x14ac:dyDescent="0.25">
      <c r="B11" s="18" t="s">
        <v>166</v>
      </c>
      <c r="D11" s="13" t="s">
        <v>232</v>
      </c>
    </row>
    <row r="12" spans="2:6" x14ac:dyDescent="0.25">
      <c r="B12" s="18" t="s">
        <v>144</v>
      </c>
      <c r="D12" s="13" t="s">
        <v>240</v>
      </c>
    </row>
    <row r="13" spans="2:6" x14ac:dyDescent="0.25">
      <c r="B13" s="20" t="s">
        <v>138</v>
      </c>
      <c r="D13" t="s">
        <v>10</v>
      </c>
    </row>
    <row r="14" spans="2:6" x14ac:dyDescent="0.25">
      <c r="B14" s="18" t="s">
        <v>216</v>
      </c>
      <c r="D14" t="s">
        <v>10</v>
      </c>
    </row>
    <row r="15" spans="2:6" x14ac:dyDescent="0.25">
      <c r="B15" s="18" t="s">
        <v>120</v>
      </c>
      <c r="D15" t="s">
        <v>22</v>
      </c>
    </row>
    <row r="16" spans="2:6" x14ac:dyDescent="0.25">
      <c r="B16" s="14" t="s">
        <v>45</v>
      </c>
      <c r="D16" t="s">
        <v>9</v>
      </c>
    </row>
    <row r="17" spans="2:6" x14ac:dyDescent="0.25">
      <c r="B17" s="14" t="s">
        <v>21</v>
      </c>
      <c r="D17" t="s">
        <v>23</v>
      </c>
    </row>
    <row r="18" spans="2:6" x14ac:dyDescent="0.25">
      <c r="B18" s="18" t="s">
        <v>78</v>
      </c>
      <c r="D18" t="s">
        <v>24</v>
      </c>
    </row>
    <row r="19" spans="2:6" x14ac:dyDescent="0.25">
      <c r="B19" s="20" t="s">
        <v>206</v>
      </c>
      <c r="D19" s="21" t="s">
        <v>252</v>
      </c>
      <c r="F19" s="19"/>
    </row>
    <row r="20" spans="2:6" x14ac:dyDescent="0.25">
      <c r="B20" s="18" t="s">
        <v>127</v>
      </c>
      <c r="D20" s="13" t="s">
        <v>263</v>
      </c>
    </row>
    <row r="21" spans="2:6" x14ac:dyDescent="0.25">
      <c r="B21" s="14" t="s">
        <v>47</v>
      </c>
      <c r="D21" t="s">
        <v>25</v>
      </c>
    </row>
    <row r="22" spans="2:6" x14ac:dyDescent="0.25">
      <c r="B22" s="20" t="s">
        <v>123</v>
      </c>
      <c r="D22" t="s">
        <v>14</v>
      </c>
    </row>
    <row r="23" spans="2:6" x14ac:dyDescent="0.25">
      <c r="B23" s="18" t="s">
        <v>107</v>
      </c>
      <c r="D23" t="s">
        <v>13</v>
      </c>
    </row>
    <row r="24" spans="2:6" x14ac:dyDescent="0.25">
      <c r="B24" s="20" t="s">
        <v>119</v>
      </c>
      <c r="D24" t="s">
        <v>26</v>
      </c>
    </row>
    <row r="25" spans="2:6" x14ac:dyDescent="0.25">
      <c r="B25" s="20" t="s">
        <v>146</v>
      </c>
      <c r="D25" t="s">
        <v>27</v>
      </c>
    </row>
    <row r="26" spans="2:6" x14ac:dyDescent="0.25">
      <c r="B26" s="18" t="s">
        <v>135</v>
      </c>
      <c r="D26" s="21" t="s">
        <v>244</v>
      </c>
      <c r="F26" s="22"/>
    </row>
    <row r="27" spans="2:6" x14ac:dyDescent="0.25">
      <c r="B27" s="20" t="s">
        <v>130</v>
      </c>
      <c r="D27" s="13" t="s">
        <v>251</v>
      </c>
    </row>
    <row r="28" spans="2:6" x14ac:dyDescent="0.25">
      <c r="B28" s="18" t="s">
        <v>71</v>
      </c>
      <c r="D28" t="s">
        <v>15</v>
      </c>
    </row>
    <row r="29" spans="2:6" x14ac:dyDescent="0.25">
      <c r="B29" s="14" t="s">
        <v>7</v>
      </c>
      <c r="D29" t="s">
        <v>15</v>
      </c>
    </row>
    <row r="30" spans="2:6" x14ac:dyDescent="0.25">
      <c r="B30" s="18" t="s">
        <v>207</v>
      </c>
      <c r="D30" s="21" t="s">
        <v>243</v>
      </c>
      <c r="F30" s="22"/>
    </row>
    <row r="31" spans="2:6" x14ac:dyDescent="0.25">
      <c r="B31" s="16" t="s">
        <v>214</v>
      </c>
      <c r="D31" s="13" t="s">
        <v>245</v>
      </c>
    </row>
    <row r="32" spans="2:6" x14ac:dyDescent="0.25">
      <c r="B32" s="16" t="s">
        <v>215</v>
      </c>
      <c r="D32" t="s">
        <v>16</v>
      </c>
    </row>
    <row r="33" spans="2:6" x14ac:dyDescent="0.25">
      <c r="B33" s="20" t="s">
        <v>81</v>
      </c>
      <c r="D33" t="s">
        <v>29</v>
      </c>
    </row>
    <row r="34" spans="2:6" x14ac:dyDescent="0.25">
      <c r="B34" s="18" t="s">
        <v>200</v>
      </c>
      <c r="D34" t="s">
        <v>28</v>
      </c>
    </row>
    <row r="35" spans="2:6" x14ac:dyDescent="0.25">
      <c r="B35" s="14" t="s">
        <v>217</v>
      </c>
      <c r="D35" s="13" t="s">
        <v>262</v>
      </c>
    </row>
    <row r="36" spans="2:6" x14ac:dyDescent="0.25">
      <c r="B36" s="14" t="s">
        <v>10</v>
      </c>
      <c r="D36" s="13" t="s">
        <v>257</v>
      </c>
    </row>
    <row r="37" spans="2:6" x14ac:dyDescent="0.25">
      <c r="B37" s="14" t="s">
        <v>22</v>
      </c>
      <c r="D37" s="13" t="s">
        <v>255</v>
      </c>
    </row>
    <row r="38" spans="2:6" x14ac:dyDescent="0.25">
      <c r="B38" s="14" t="s">
        <v>92</v>
      </c>
      <c r="D38" s="13" t="s">
        <v>256</v>
      </c>
    </row>
    <row r="39" spans="2:6" x14ac:dyDescent="0.25">
      <c r="B39" s="14" t="s">
        <v>224</v>
      </c>
      <c r="D39" s="21" t="s">
        <v>235</v>
      </c>
    </row>
    <row r="40" spans="2:6" x14ac:dyDescent="0.25">
      <c r="B40" s="14" t="s">
        <v>88</v>
      </c>
      <c r="D40" s="13" t="s">
        <v>233</v>
      </c>
    </row>
    <row r="41" spans="2:6" x14ac:dyDescent="0.25">
      <c r="B41" s="14" t="s">
        <v>59</v>
      </c>
      <c r="D41" t="s">
        <v>30</v>
      </c>
    </row>
    <row r="42" spans="2:6" x14ac:dyDescent="0.25">
      <c r="B42" s="14" t="s">
        <v>58</v>
      </c>
      <c r="D42" t="s">
        <v>31</v>
      </c>
    </row>
    <row r="43" spans="2:6" x14ac:dyDescent="0.25">
      <c r="B43" s="14" t="s">
        <v>181</v>
      </c>
      <c r="D43" t="s">
        <v>32</v>
      </c>
    </row>
    <row r="44" spans="2:6" x14ac:dyDescent="0.25">
      <c r="B44" s="14" t="s">
        <v>179</v>
      </c>
      <c r="D44" t="s">
        <v>18</v>
      </c>
    </row>
    <row r="45" spans="2:6" x14ac:dyDescent="0.25">
      <c r="B45" s="14" t="s">
        <v>116</v>
      </c>
      <c r="D45" t="s">
        <v>18</v>
      </c>
    </row>
    <row r="46" spans="2:6" x14ac:dyDescent="0.25">
      <c r="B46" s="14" t="s">
        <v>162</v>
      </c>
      <c r="D46" s="21" t="s">
        <v>247</v>
      </c>
      <c r="F46" s="19"/>
    </row>
    <row r="47" spans="2:6" x14ac:dyDescent="0.25">
      <c r="B47" s="14" t="s">
        <v>158</v>
      </c>
      <c r="D47" t="s">
        <v>33</v>
      </c>
    </row>
    <row r="48" spans="2:6" x14ac:dyDescent="0.25">
      <c r="B48" s="14" t="s">
        <v>172</v>
      </c>
      <c r="D48" t="s">
        <v>34</v>
      </c>
    </row>
    <row r="49" spans="2:6" x14ac:dyDescent="0.25">
      <c r="B49" s="14" t="s">
        <v>173</v>
      </c>
      <c r="D49" t="s">
        <v>35</v>
      </c>
    </row>
    <row r="50" spans="2:6" x14ac:dyDescent="0.25">
      <c r="B50" s="15" t="s">
        <v>133</v>
      </c>
      <c r="D50" t="s">
        <v>20</v>
      </c>
    </row>
    <row r="51" spans="2:6" x14ac:dyDescent="0.25">
      <c r="B51" s="15" t="s">
        <v>136</v>
      </c>
      <c r="D51" t="s">
        <v>36</v>
      </c>
    </row>
    <row r="52" spans="2:6" x14ac:dyDescent="0.25">
      <c r="B52" s="14" t="s">
        <v>134</v>
      </c>
      <c r="D52" s="21" t="s">
        <v>248</v>
      </c>
      <c r="F52" s="22"/>
    </row>
    <row r="53" spans="2:6" x14ac:dyDescent="0.25">
      <c r="B53" s="14" t="s">
        <v>9</v>
      </c>
      <c r="D53" s="21" t="s">
        <v>250</v>
      </c>
      <c r="F53" s="22"/>
    </row>
    <row r="54" spans="2:6" x14ac:dyDescent="0.25">
      <c r="B54" s="14" t="s">
        <v>111</v>
      </c>
      <c r="D54" s="21" t="s">
        <v>249</v>
      </c>
      <c r="F54" s="22"/>
    </row>
    <row r="55" spans="2:6" x14ac:dyDescent="0.25">
      <c r="B55" s="14" t="s">
        <v>23</v>
      </c>
      <c r="D55" t="s">
        <v>6</v>
      </c>
    </row>
    <row r="56" spans="2:6" x14ac:dyDescent="0.25">
      <c r="B56" s="14" t="s">
        <v>24</v>
      </c>
      <c r="D56" t="s">
        <v>5</v>
      </c>
    </row>
    <row r="57" spans="2:6" x14ac:dyDescent="0.25">
      <c r="B57" s="14" t="s">
        <v>204</v>
      </c>
      <c r="D57" t="s">
        <v>37</v>
      </c>
    </row>
    <row r="58" spans="2:6" x14ac:dyDescent="0.25">
      <c r="B58" s="14" t="s">
        <v>213</v>
      </c>
      <c r="D58" s="13" t="s">
        <v>258</v>
      </c>
    </row>
    <row r="59" spans="2:6" x14ac:dyDescent="0.25">
      <c r="B59" s="14" t="s">
        <v>94</v>
      </c>
      <c r="D59" t="s">
        <v>19</v>
      </c>
    </row>
    <row r="60" spans="2:6" x14ac:dyDescent="0.25">
      <c r="B60" s="14" t="s">
        <v>96</v>
      </c>
      <c r="D60" t="s">
        <v>38</v>
      </c>
    </row>
    <row r="61" spans="2:6" x14ac:dyDescent="0.25">
      <c r="B61" s="20" t="s">
        <v>142</v>
      </c>
      <c r="D61" t="s">
        <v>12</v>
      </c>
    </row>
    <row r="62" spans="2:6" x14ac:dyDescent="0.25">
      <c r="B62" s="14" t="s">
        <v>83</v>
      </c>
      <c r="D62" t="s">
        <v>11</v>
      </c>
    </row>
    <row r="63" spans="2:6" x14ac:dyDescent="0.25">
      <c r="B63" s="14" t="s">
        <v>122</v>
      </c>
      <c r="D63" t="s">
        <v>39</v>
      </c>
    </row>
    <row r="64" spans="2:6" x14ac:dyDescent="0.25">
      <c r="B64" s="14" t="s">
        <v>25</v>
      </c>
      <c r="D64" t="s">
        <v>40</v>
      </c>
    </row>
    <row r="65" spans="2:6" x14ac:dyDescent="0.25">
      <c r="B65" s="14" t="s">
        <v>14</v>
      </c>
      <c r="D65" t="s">
        <v>41</v>
      </c>
    </row>
    <row r="66" spans="2:6" x14ac:dyDescent="0.25">
      <c r="B66" s="14" t="s">
        <v>13</v>
      </c>
      <c r="D66" s="21" t="s">
        <v>242</v>
      </c>
      <c r="F66" s="19"/>
    </row>
    <row r="67" spans="2:6" x14ac:dyDescent="0.25">
      <c r="B67" s="14" t="s">
        <v>171</v>
      </c>
      <c r="D67" s="21" t="s">
        <v>241</v>
      </c>
      <c r="F67" s="19"/>
    </row>
    <row r="68" spans="2:6" x14ac:dyDescent="0.25">
      <c r="B68" s="14" t="s">
        <v>77</v>
      </c>
      <c r="D68" t="s">
        <v>17</v>
      </c>
    </row>
    <row r="69" spans="2:6" x14ac:dyDescent="0.25">
      <c r="B69" s="14" t="s">
        <v>126</v>
      </c>
      <c r="D69" s="21" t="s">
        <v>238</v>
      </c>
      <c r="F69" s="22"/>
    </row>
    <row r="70" spans="2:6" x14ac:dyDescent="0.25">
      <c r="B70" s="14" t="s">
        <v>55</v>
      </c>
      <c r="D70" s="21" t="s">
        <v>236</v>
      </c>
      <c r="F70" s="22"/>
    </row>
    <row r="71" spans="2:6" x14ac:dyDescent="0.25">
      <c r="B71" s="14" t="s">
        <v>191</v>
      </c>
      <c r="D71" t="s">
        <v>8</v>
      </c>
    </row>
    <row r="72" spans="2:6" x14ac:dyDescent="0.25">
      <c r="B72" s="14" t="s">
        <v>26</v>
      </c>
      <c r="D72" s="21" t="s">
        <v>237</v>
      </c>
      <c r="F72" s="19"/>
    </row>
    <row r="73" spans="2:6" x14ac:dyDescent="0.25">
      <c r="B73" s="14" t="s">
        <v>27</v>
      </c>
      <c r="D73" s="13" t="s">
        <v>260</v>
      </c>
    </row>
    <row r="74" spans="2:6" x14ac:dyDescent="0.25">
      <c r="B74" s="20" t="s">
        <v>132</v>
      </c>
      <c r="D74" s="13" t="s">
        <v>231</v>
      </c>
    </row>
    <row r="75" spans="2:6" x14ac:dyDescent="0.25">
      <c r="B75" s="14" t="s">
        <v>103</v>
      </c>
      <c r="D75" t="s">
        <v>42</v>
      </c>
    </row>
    <row r="76" spans="2:6" x14ac:dyDescent="0.25">
      <c r="B76" s="20" t="s">
        <v>105</v>
      </c>
      <c r="D76" s="13" t="s">
        <v>253</v>
      </c>
    </row>
    <row r="77" spans="2:6" x14ac:dyDescent="0.25">
      <c r="B77" s="14" t="s">
        <v>203</v>
      </c>
      <c r="D77" s="21" t="s">
        <v>254</v>
      </c>
      <c r="F77" s="19"/>
    </row>
    <row r="78" spans="2:6" x14ac:dyDescent="0.25">
      <c r="B78" s="14" t="s">
        <v>15</v>
      </c>
      <c r="D78" s="13" t="s">
        <v>246</v>
      </c>
    </row>
    <row r="79" spans="2:6" x14ac:dyDescent="0.25">
      <c r="B79" s="14" t="s">
        <v>104</v>
      </c>
      <c r="D79" s="13" t="s">
        <v>265</v>
      </c>
    </row>
    <row r="80" spans="2:6" x14ac:dyDescent="0.25">
      <c r="B80" s="14" t="s">
        <v>228</v>
      </c>
      <c r="D80" t="s">
        <v>43</v>
      </c>
    </row>
    <row r="81" spans="2:6" x14ac:dyDescent="0.25">
      <c r="B81" s="14" t="s">
        <v>16</v>
      </c>
      <c r="D81" t="s">
        <v>44</v>
      </c>
    </row>
    <row r="82" spans="2:6" x14ac:dyDescent="0.25">
      <c r="B82" s="14" t="s">
        <v>48</v>
      </c>
      <c r="D82" t="s">
        <v>45</v>
      </c>
    </row>
    <row r="83" spans="2:6" x14ac:dyDescent="0.25">
      <c r="B83" s="14" t="s">
        <v>29</v>
      </c>
      <c r="D83" s="13" t="s">
        <v>266</v>
      </c>
      <c r="F83" s="19"/>
    </row>
    <row r="84" spans="2:6" x14ac:dyDescent="0.25">
      <c r="B84" s="14" t="s">
        <v>28</v>
      </c>
      <c r="D84" s="13" t="s">
        <v>267</v>
      </c>
      <c r="F84" s="19"/>
    </row>
    <row r="85" spans="2:6" x14ac:dyDescent="0.25">
      <c r="B85" s="14" t="s">
        <v>218</v>
      </c>
      <c r="D85" s="13" t="s">
        <v>268</v>
      </c>
    </row>
    <row r="86" spans="2:6" x14ac:dyDescent="0.25">
      <c r="B86" s="20" t="s">
        <v>49</v>
      </c>
      <c r="D86" s="13" t="s">
        <v>269</v>
      </c>
    </row>
    <row r="87" spans="2:6" x14ac:dyDescent="0.25">
      <c r="B87" s="14" t="s">
        <v>63</v>
      </c>
      <c r="D87" s="21" t="s">
        <v>270</v>
      </c>
      <c r="F87" s="22"/>
    </row>
    <row r="88" spans="2:6" x14ac:dyDescent="0.25">
      <c r="B88" s="14" t="s">
        <v>167</v>
      </c>
      <c r="D88" s="13" t="s">
        <v>271</v>
      </c>
      <c r="F88" s="19"/>
    </row>
    <row r="89" spans="2:6" x14ac:dyDescent="0.25">
      <c r="B89" s="14" t="s">
        <v>101</v>
      </c>
      <c r="D89" s="13" t="s">
        <v>272</v>
      </c>
      <c r="F89" s="19"/>
    </row>
    <row r="90" spans="2:6" x14ac:dyDescent="0.25">
      <c r="B90" s="14" t="s">
        <v>62</v>
      </c>
      <c r="D90" t="s">
        <v>273</v>
      </c>
    </row>
    <row r="91" spans="2:6" x14ac:dyDescent="0.25">
      <c r="B91" s="14" t="s">
        <v>86</v>
      </c>
      <c r="D91" s="13" t="s">
        <v>274</v>
      </c>
      <c r="F91" s="19"/>
    </row>
    <row r="92" spans="2:6" x14ac:dyDescent="0.25">
      <c r="B92" s="20" t="s">
        <v>52</v>
      </c>
      <c r="D92" s="13" t="s">
        <v>275</v>
      </c>
      <c r="F92" s="19"/>
    </row>
    <row r="93" spans="2:6" x14ac:dyDescent="0.25">
      <c r="B93" s="20" t="s">
        <v>139</v>
      </c>
      <c r="D93" t="s">
        <v>276</v>
      </c>
    </row>
    <row r="94" spans="2:6" x14ac:dyDescent="0.25">
      <c r="B94" s="20" t="s">
        <v>51</v>
      </c>
      <c r="D94" s="13" t="s">
        <v>277</v>
      </c>
    </row>
    <row r="95" spans="2:6" x14ac:dyDescent="0.25">
      <c r="B95" s="20" t="s">
        <v>79</v>
      </c>
      <c r="D95" s="21" t="s">
        <v>278</v>
      </c>
    </row>
    <row r="96" spans="2:6" x14ac:dyDescent="0.25">
      <c r="B96" s="14" t="s">
        <v>80</v>
      </c>
      <c r="D96" s="21" t="s">
        <v>279</v>
      </c>
    </row>
    <row r="97" spans="2:4" x14ac:dyDescent="0.25">
      <c r="B97" s="14" t="s">
        <v>30</v>
      </c>
      <c r="D97" s="21" t="s">
        <v>280</v>
      </c>
    </row>
    <row r="98" spans="2:4" x14ac:dyDescent="0.25">
      <c r="B98" s="14" t="s">
        <v>31</v>
      </c>
      <c r="D98" s="21" t="s">
        <v>281</v>
      </c>
    </row>
    <row r="99" spans="2:4" x14ac:dyDescent="0.25">
      <c r="B99" s="14" t="s">
        <v>32</v>
      </c>
      <c r="D99" t="s">
        <v>46</v>
      </c>
    </row>
    <row r="100" spans="2:4" x14ac:dyDescent="0.25">
      <c r="B100" s="14" t="s">
        <v>18</v>
      </c>
      <c r="D100" s="21" t="s">
        <v>282</v>
      </c>
    </row>
    <row r="101" spans="2:4" x14ac:dyDescent="0.25">
      <c r="B101" s="14" t="s">
        <v>187</v>
      </c>
      <c r="D101" s="21" t="s">
        <v>283</v>
      </c>
    </row>
    <row r="102" spans="2:4" x14ac:dyDescent="0.25">
      <c r="B102" s="14" t="s">
        <v>87</v>
      </c>
      <c r="D102" s="21" t="s">
        <v>284</v>
      </c>
    </row>
    <row r="103" spans="2:4" x14ac:dyDescent="0.25">
      <c r="B103" s="20" t="s">
        <v>205</v>
      </c>
      <c r="D103" s="13" t="s">
        <v>285</v>
      </c>
    </row>
    <row r="104" spans="2:4" x14ac:dyDescent="0.25">
      <c r="B104" s="14" t="s">
        <v>33</v>
      </c>
      <c r="D104" s="21" t="s">
        <v>286</v>
      </c>
    </row>
    <row r="105" spans="2:4" x14ac:dyDescent="0.25">
      <c r="B105" s="14" t="s">
        <v>34</v>
      </c>
      <c r="D105" s="21" t="s">
        <v>287</v>
      </c>
    </row>
    <row r="106" spans="2:4" x14ac:dyDescent="0.25">
      <c r="B106" s="14" t="s">
        <v>35</v>
      </c>
      <c r="D106" s="21" t="s">
        <v>288</v>
      </c>
    </row>
    <row r="107" spans="2:4" x14ac:dyDescent="0.25">
      <c r="B107" s="14" t="s">
        <v>20</v>
      </c>
      <c r="D107" s="13" t="s">
        <v>289</v>
      </c>
    </row>
    <row r="108" spans="2:4" x14ac:dyDescent="0.25">
      <c r="B108" s="20" t="s">
        <v>145</v>
      </c>
      <c r="D108" s="13" t="s">
        <v>290</v>
      </c>
    </row>
    <row r="109" spans="2:4" x14ac:dyDescent="0.25">
      <c r="B109" s="14" t="s">
        <v>185</v>
      </c>
      <c r="D109" t="s">
        <v>276</v>
      </c>
    </row>
    <row r="110" spans="2:4" x14ac:dyDescent="0.25">
      <c r="B110" s="14" t="s">
        <v>36</v>
      </c>
      <c r="D110" s="13" t="s">
        <v>291</v>
      </c>
    </row>
    <row r="111" spans="2:4" x14ac:dyDescent="0.25">
      <c r="B111" s="14" t="s">
        <v>57</v>
      </c>
      <c r="D111" t="s">
        <v>16</v>
      </c>
    </row>
    <row r="112" spans="2:4" x14ac:dyDescent="0.25">
      <c r="B112" s="14" t="s">
        <v>124</v>
      </c>
      <c r="D112" t="s">
        <v>47</v>
      </c>
    </row>
    <row r="113" spans="2:4" x14ac:dyDescent="0.25">
      <c r="B113" s="14" t="s">
        <v>106</v>
      </c>
      <c r="D113" t="s">
        <v>48</v>
      </c>
    </row>
    <row r="114" spans="2:4" x14ac:dyDescent="0.25">
      <c r="B114" s="14" t="s">
        <v>219</v>
      </c>
      <c r="D114" s="21" t="s">
        <v>292</v>
      </c>
    </row>
    <row r="115" spans="2:4" x14ac:dyDescent="0.25">
      <c r="B115" s="20" t="s">
        <v>61</v>
      </c>
      <c r="D115" s="13" t="s">
        <v>293</v>
      </c>
    </row>
    <row r="116" spans="2:4" x14ac:dyDescent="0.25">
      <c r="B116" s="14" t="s">
        <v>46</v>
      </c>
      <c r="D116" s="13" t="s">
        <v>294</v>
      </c>
    </row>
    <row r="117" spans="2:4" x14ac:dyDescent="0.25">
      <c r="B117" s="14" t="s">
        <v>6</v>
      </c>
      <c r="D117" t="s">
        <v>158</v>
      </c>
    </row>
    <row r="118" spans="2:4" x14ac:dyDescent="0.25">
      <c r="B118" s="14" t="s">
        <v>5</v>
      </c>
      <c r="D118" t="s">
        <v>157</v>
      </c>
    </row>
    <row r="119" spans="2:4" x14ac:dyDescent="0.25">
      <c r="B119" s="14" t="s">
        <v>95</v>
      </c>
      <c r="D119" t="s">
        <v>156</v>
      </c>
    </row>
    <row r="120" spans="2:4" x14ac:dyDescent="0.25">
      <c r="B120" s="14" t="s">
        <v>97</v>
      </c>
      <c r="D120" s="13" t="s">
        <v>295</v>
      </c>
    </row>
    <row r="121" spans="2:4" x14ac:dyDescent="0.25">
      <c r="B121" s="14" t="s">
        <v>100</v>
      </c>
      <c r="D121" s="13" t="s">
        <v>296</v>
      </c>
    </row>
    <row r="122" spans="2:4" x14ac:dyDescent="0.25">
      <c r="B122" s="14" t="s">
        <v>37</v>
      </c>
      <c r="D122" t="s">
        <v>162</v>
      </c>
    </row>
    <row r="123" spans="2:4" x14ac:dyDescent="0.25">
      <c r="B123" s="14" t="s">
        <v>211</v>
      </c>
      <c r="D123" s="21" t="s">
        <v>297</v>
      </c>
    </row>
    <row r="124" spans="2:4" x14ac:dyDescent="0.25">
      <c r="B124" s="14" t="s">
        <v>141</v>
      </c>
      <c r="D124" s="21" t="s">
        <v>298</v>
      </c>
    </row>
    <row r="125" spans="2:4" x14ac:dyDescent="0.25">
      <c r="B125" s="14" t="s">
        <v>19</v>
      </c>
      <c r="D125" s="21" t="s">
        <v>299</v>
      </c>
    </row>
    <row r="126" spans="2:4" x14ac:dyDescent="0.25">
      <c r="B126" s="20" t="s">
        <v>93</v>
      </c>
      <c r="D126" s="21" t="s">
        <v>300</v>
      </c>
    </row>
    <row r="127" spans="2:4" x14ac:dyDescent="0.25">
      <c r="B127" s="14" t="s">
        <v>193</v>
      </c>
      <c r="D127" s="21" t="s">
        <v>301</v>
      </c>
    </row>
    <row r="128" spans="2:4" x14ac:dyDescent="0.25">
      <c r="B128" s="14" t="s">
        <v>195</v>
      </c>
      <c r="D128" t="s">
        <v>302</v>
      </c>
    </row>
    <row r="129" spans="2:4" x14ac:dyDescent="0.25">
      <c r="B129" s="14" t="s">
        <v>56</v>
      </c>
      <c r="D129" t="s">
        <v>303</v>
      </c>
    </row>
    <row r="130" spans="2:4" x14ac:dyDescent="0.25">
      <c r="B130" s="14" t="s">
        <v>38</v>
      </c>
      <c r="D130" t="s">
        <v>273</v>
      </c>
    </row>
    <row r="131" spans="2:4" x14ac:dyDescent="0.25">
      <c r="B131" s="14" t="s">
        <v>53</v>
      </c>
      <c r="D131" s="13" t="s">
        <v>304</v>
      </c>
    </row>
    <row r="132" spans="2:4" x14ac:dyDescent="0.25">
      <c r="B132" s="14" t="s">
        <v>12</v>
      </c>
      <c r="D132" s="13" t="s">
        <v>305</v>
      </c>
    </row>
    <row r="133" spans="2:4" x14ac:dyDescent="0.25">
      <c r="B133" s="14" t="s">
        <v>11</v>
      </c>
      <c r="D133" s="21" t="s">
        <v>306</v>
      </c>
    </row>
    <row r="134" spans="2:4" x14ac:dyDescent="0.25">
      <c r="B134" s="14" t="s">
        <v>39</v>
      </c>
      <c r="D134" s="21" t="s">
        <v>307</v>
      </c>
    </row>
    <row r="135" spans="2:4" x14ac:dyDescent="0.25">
      <c r="B135" s="14" t="s">
        <v>177</v>
      </c>
      <c r="D135" s="21" t="s">
        <v>308</v>
      </c>
    </row>
    <row r="136" spans="2:4" x14ac:dyDescent="0.25">
      <c r="B136" s="14" t="s">
        <v>175</v>
      </c>
      <c r="D136" s="13" t="s">
        <v>309</v>
      </c>
    </row>
    <row r="137" spans="2:4" x14ac:dyDescent="0.25">
      <c r="B137" s="14" t="s">
        <v>102</v>
      </c>
      <c r="D137" s="21" t="s">
        <v>310</v>
      </c>
    </row>
    <row r="138" spans="2:4" x14ac:dyDescent="0.25">
      <c r="B138" s="14" t="s">
        <v>40</v>
      </c>
      <c r="D138" s="21" t="s">
        <v>311</v>
      </c>
    </row>
    <row r="139" spans="2:4" x14ac:dyDescent="0.25">
      <c r="B139" s="14" t="s">
        <v>41</v>
      </c>
      <c r="D139" s="21" t="s">
        <v>312</v>
      </c>
    </row>
    <row r="140" spans="2:4" x14ac:dyDescent="0.25">
      <c r="B140" s="14" t="s">
        <v>17</v>
      </c>
      <c r="D140" s="21" t="s">
        <v>313</v>
      </c>
    </row>
    <row r="141" spans="2:4" x14ac:dyDescent="0.25">
      <c r="B141" s="14" t="s">
        <v>66</v>
      </c>
      <c r="D141" s="21" t="s">
        <v>314</v>
      </c>
    </row>
    <row r="142" spans="2:4" x14ac:dyDescent="0.25">
      <c r="B142" s="14" t="s">
        <v>68</v>
      </c>
      <c r="D142" s="21" t="s">
        <v>315</v>
      </c>
    </row>
    <row r="143" spans="2:4" x14ac:dyDescent="0.25">
      <c r="B143" s="14" t="s">
        <v>69</v>
      </c>
      <c r="D143" s="21" t="s">
        <v>316</v>
      </c>
    </row>
    <row r="144" spans="2:4" x14ac:dyDescent="0.25">
      <c r="B144" s="14" t="s">
        <v>70</v>
      </c>
      <c r="D144" s="21" t="s">
        <v>317</v>
      </c>
    </row>
    <row r="145" spans="2:4" x14ac:dyDescent="0.25">
      <c r="B145" s="14" t="s">
        <v>67</v>
      </c>
      <c r="D145" t="s">
        <v>302</v>
      </c>
    </row>
    <row r="146" spans="2:4" x14ac:dyDescent="0.25">
      <c r="B146" s="14" t="s">
        <v>98</v>
      </c>
      <c r="D146" t="s">
        <v>303</v>
      </c>
    </row>
    <row r="147" spans="2:4" x14ac:dyDescent="0.25">
      <c r="B147" s="14" t="s">
        <v>110</v>
      </c>
      <c r="D147" t="s">
        <v>302</v>
      </c>
    </row>
    <row r="148" spans="2:4" x14ac:dyDescent="0.25">
      <c r="B148" s="14" t="s">
        <v>199</v>
      </c>
      <c r="D148" t="s">
        <v>303</v>
      </c>
    </row>
    <row r="149" spans="2:4" x14ac:dyDescent="0.25">
      <c r="B149" s="14" t="s">
        <v>197</v>
      </c>
    </row>
    <row r="150" spans="2:4" x14ac:dyDescent="0.25">
      <c r="B150" s="14" t="s">
        <v>189</v>
      </c>
    </row>
    <row r="151" spans="2:4" x14ac:dyDescent="0.25">
      <c r="B151" s="14" t="s">
        <v>125</v>
      </c>
    </row>
    <row r="152" spans="2:4" x14ac:dyDescent="0.25">
      <c r="B152" s="14" t="s">
        <v>209</v>
      </c>
    </row>
    <row r="153" spans="2:4" x14ac:dyDescent="0.25">
      <c r="B153" s="14" t="s">
        <v>210</v>
      </c>
    </row>
    <row r="154" spans="2:4" x14ac:dyDescent="0.25">
      <c r="B154" s="14" t="s">
        <v>108</v>
      </c>
    </row>
    <row r="155" spans="2:4" x14ac:dyDescent="0.25">
      <c r="B155" s="14" t="s">
        <v>8</v>
      </c>
    </row>
    <row r="156" spans="2:4" x14ac:dyDescent="0.25">
      <c r="B156" s="14" t="s">
        <v>72</v>
      </c>
    </row>
    <row r="157" spans="2:4" x14ac:dyDescent="0.25">
      <c r="B157" s="14" t="s">
        <v>156</v>
      </c>
    </row>
    <row r="158" spans="2:4" x14ac:dyDescent="0.25">
      <c r="B158" s="14" t="s">
        <v>84</v>
      </c>
    </row>
    <row r="159" spans="2:4" x14ac:dyDescent="0.25">
      <c r="B159" s="20" t="s">
        <v>89</v>
      </c>
    </row>
    <row r="160" spans="2:4" x14ac:dyDescent="0.25">
      <c r="B160" s="14" t="s">
        <v>90</v>
      </c>
    </row>
    <row r="161" spans="2:2" x14ac:dyDescent="0.25">
      <c r="B161" s="14" t="s">
        <v>99</v>
      </c>
    </row>
    <row r="162" spans="2:2" x14ac:dyDescent="0.25">
      <c r="B162" s="14" t="s">
        <v>76</v>
      </c>
    </row>
    <row r="163" spans="2:2" x14ac:dyDescent="0.25">
      <c r="B163" s="20" t="s">
        <v>85</v>
      </c>
    </row>
    <row r="164" spans="2:2" x14ac:dyDescent="0.25">
      <c r="B164" s="14" t="s">
        <v>115</v>
      </c>
    </row>
    <row r="165" spans="2:2" x14ac:dyDescent="0.25">
      <c r="B165" s="14" t="s">
        <v>91</v>
      </c>
    </row>
    <row r="166" spans="2:2" x14ac:dyDescent="0.25">
      <c r="B166" s="14" t="s">
        <v>114</v>
      </c>
    </row>
    <row r="167" spans="2:2" x14ac:dyDescent="0.25">
      <c r="B167" s="14" t="s">
        <v>113</v>
      </c>
    </row>
    <row r="168" spans="2:2" x14ac:dyDescent="0.25">
      <c r="B168" s="14" t="s">
        <v>75</v>
      </c>
    </row>
    <row r="169" spans="2:2" x14ac:dyDescent="0.25">
      <c r="B169" s="14" t="s">
        <v>74</v>
      </c>
    </row>
    <row r="170" spans="2:2" x14ac:dyDescent="0.25">
      <c r="B170" s="20" t="s">
        <v>109</v>
      </c>
    </row>
    <row r="171" spans="2:2" x14ac:dyDescent="0.25">
      <c r="B171" s="14" t="s">
        <v>157</v>
      </c>
    </row>
    <row r="172" spans="2:2" x14ac:dyDescent="0.25">
      <c r="B172" s="20" t="s">
        <v>129</v>
      </c>
    </row>
    <row r="173" spans="2:2" x14ac:dyDescent="0.25">
      <c r="B173" s="14" t="s">
        <v>42</v>
      </c>
    </row>
    <row r="174" spans="2:2" x14ac:dyDescent="0.25">
      <c r="B174" s="14" t="s">
        <v>54</v>
      </c>
    </row>
    <row r="175" spans="2:2" x14ac:dyDescent="0.25">
      <c r="B175" s="14" t="s">
        <v>117</v>
      </c>
    </row>
    <row r="176" spans="2:2" x14ac:dyDescent="0.25">
      <c r="B176" s="20" t="s">
        <v>208</v>
      </c>
    </row>
    <row r="177" spans="2:2" x14ac:dyDescent="0.25">
      <c r="B177" s="14" t="s">
        <v>140</v>
      </c>
    </row>
    <row r="178" spans="2:2" x14ac:dyDescent="0.25">
      <c r="B178" s="14" t="s">
        <v>112</v>
      </c>
    </row>
    <row r="179" spans="2:2" x14ac:dyDescent="0.25">
      <c r="B179" s="14" t="s">
        <v>165</v>
      </c>
    </row>
    <row r="180" spans="2:2" x14ac:dyDescent="0.25">
      <c r="B180" s="14" t="s">
        <v>121</v>
      </c>
    </row>
    <row r="181" spans="2:2" x14ac:dyDescent="0.25">
      <c r="B181" s="14" t="s">
        <v>131</v>
      </c>
    </row>
    <row r="182" spans="2:2" x14ac:dyDescent="0.25">
      <c r="B182" s="14" t="s">
        <v>137</v>
      </c>
    </row>
    <row r="183" spans="2:2" x14ac:dyDescent="0.25">
      <c r="B183" s="14" t="s">
        <v>168</v>
      </c>
    </row>
    <row r="184" spans="2:2" x14ac:dyDescent="0.25">
      <c r="B184" s="20" t="s">
        <v>143</v>
      </c>
    </row>
    <row r="185" spans="2:2" x14ac:dyDescent="0.25">
      <c r="B185" s="20" t="s">
        <v>164</v>
      </c>
    </row>
    <row r="186" spans="2:2" x14ac:dyDescent="0.25">
      <c r="B186" s="14" t="s">
        <v>43</v>
      </c>
    </row>
    <row r="187" spans="2:2" x14ac:dyDescent="0.25">
      <c r="B187" s="14" t="s">
        <v>44</v>
      </c>
    </row>
    <row r="188" spans="2:2" x14ac:dyDescent="0.25">
      <c r="B188" s="14" t="s">
        <v>201</v>
      </c>
    </row>
    <row r="189" spans="2:2" x14ac:dyDescent="0.25">
      <c r="B189" s="14" t="s">
        <v>202</v>
      </c>
    </row>
    <row r="190" spans="2:2" x14ac:dyDescent="0.25">
      <c r="B190" s="14" t="s">
        <v>82</v>
      </c>
    </row>
  </sheetData>
  <sortState xmlns:xlrd2="http://schemas.microsoft.com/office/spreadsheetml/2017/richdata2" ref="D4:D81">
    <sortCondition ref="D4:D81"/>
  </sortState>
  <conditionalFormatting sqref="B1:D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AC9E-1D2B-4161-AB34-45300FF2650F}">
  <dimension ref="C4:C21"/>
  <sheetViews>
    <sheetView workbookViewId="0">
      <selection activeCell="C4" sqref="C4:C21"/>
    </sheetView>
  </sheetViews>
  <sheetFormatPr defaultRowHeight="15" x14ac:dyDescent="0.25"/>
  <sheetData>
    <row r="4" spans="3:3" x14ac:dyDescent="0.25">
      <c r="C4" s="28" t="s">
        <v>163</v>
      </c>
    </row>
    <row r="5" spans="3:3" x14ac:dyDescent="0.25">
      <c r="C5" s="29" t="s">
        <v>170</v>
      </c>
    </row>
    <row r="6" spans="3:3" x14ac:dyDescent="0.25">
      <c r="C6" s="29" t="s">
        <v>169</v>
      </c>
    </row>
    <row r="7" spans="3:3" x14ac:dyDescent="0.25">
      <c r="C7" s="29" t="s">
        <v>226</v>
      </c>
    </row>
    <row r="8" spans="3:3" x14ac:dyDescent="0.25">
      <c r="C8" s="29" t="s">
        <v>174</v>
      </c>
    </row>
    <row r="9" spans="3:3" x14ac:dyDescent="0.25">
      <c r="C9" s="29" t="s">
        <v>176</v>
      </c>
    </row>
    <row r="10" spans="3:3" x14ac:dyDescent="0.25">
      <c r="C10" s="29" t="s">
        <v>178</v>
      </c>
    </row>
    <row r="11" spans="3:3" x14ac:dyDescent="0.25">
      <c r="C11" s="29" t="s">
        <v>180</v>
      </c>
    </row>
    <row r="12" spans="3:3" x14ac:dyDescent="0.25">
      <c r="C12" s="29" t="s">
        <v>182</v>
      </c>
    </row>
    <row r="13" spans="3:3" x14ac:dyDescent="0.25">
      <c r="C13" s="29" t="s">
        <v>183</v>
      </c>
    </row>
    <row r="14" spans="3:3" x14ac:dyDescent="0.25">
      <c r="C14" s="29" t="s">
        <v>184</v>
      </c>
    </row>
    <row r="15" spans="3:3" x14ac:dyDescent="0.25">
      <c r="C15" s="29" t="s">
        <v>186</v>
      </c>
    </row>
    <row r="16" spans="3:3" x14ac:dyDescent="0.25">
      <c r="C16" s="29" t="s">
        <v>188</v>
      </c>
    </row>
    <row r="17" spans="3:3" x14ac:dyDescent="0.25">
      <c r="C17" s="29" t="s">
        <v>190</v>
      </c>
    </row>
    <row r="18" spans="3:3" x14ac:dyDescent="0.25">
      <c r="C18" s="29" t="s">
        <v>192</v>
      </c>
    </row>
    <row r="19" spans="3:3" x14ac:dyDescent="0.25">
      <c r="C19" s="29" t="s">
        <v>194</v>
      </c>
    </row>
    <row r="20" spans="3:3" x14ac:dyDescent="0.25">
      <c r="C20" s="29" t="s">
        <v>196</v>
      </c>
    </row>
    <row r="21" spans="3:3" x14ac:dyDescent="0.25">
      <c r="C21" s="29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8"/>
  <sheetViews>
    <sheetView topLeftCell="A17" zoomScale="115" zoomScaleNormal="115" workbookViewId="0">
      <selection activeCell="B26" sqref="B26"/>
    </sheetView>
  </sheetViews>
  <sheetFormatPr defaultRowHeight="15" x14ac:dyDescent="0.25"/>
  <cols>
    <col min="1" max="1" width="62.140625" customWidth="1"/>
    <col min="2" max="2" width="27.7109375" customWidth="1"/>
    <col min="3" max="3" width="17.5703125" customWidth="1"/>
    <col min="4" max="4" width="11.85546875" customWidth="1"/>
    <col min="5" max="5" width="9.5703125" customWidth="1"/>
    <col min="6" max="6" width="38.7109375" bestFit="1" customWidth="1"/>
    <col min="7" max="7" width="10.42578125" bestFit="1" customWidth="1"/>
  </cols>
  <sheetData>
    <row r="1" spans="1:6" ht="39" customHeight="1" x14ac:dyDescent="0.25">
      <c r="A1" s="146" t="s">
        <v>0</v>
      </c>
      <c r="B1" s="146" t="s">
        <v>150</v>
      </c>
      <c r="C1" s="145" t="s">
        <v>1</v>
      </c>
      <c r="D1" s="145"/>
      <c r="E1" s="145"/>
      <c r="F1" s="145" t="s">
        <v>151</v>
      </c>
    </row>
    <row r="2" spans="1:6" ht="25.5" x14ac:dyDescent="0.25">
      <c r="A2" s="146"/>
      <c r="B2" s="146"/>
      <c r="C2" s="6" t="s">
        <v>154</v>
      </c>
      <c r="D2" s="6" t="s">
        <v>3</v>
      </c>
      <c r="E2" s="6" t="s">
        <v>2</v>
      </c>
      <c r="F2" s="145"/>
    </row>
    <row r="3" spans="1:6" x14ac:dyDescent="0.25">
      <c r="A3" s="7" t="s">
        <v>49</v>
      </c>
      <c r="B3" s="8">
        <v>1572</v>
      </c>
      <c r="C3" s="1">
        <v>3599</v>
      </c>
      <c r="D3" s="1">
        <f>C3/1.11</f>
        <v>3242.3423423423419</v>
      </c>
      <c r="E3" s="2">
        <f t="shared" ref="E3:E34" si="0">(D3-B3)/D3</f>
        <v>0.51516532370102797</v>
      </c>
      <c r="F3" s="3">
        <v>3700</v>
      </c>
    </row>
    <row r="4" spans="1:6" x14ac:dyDescent="0.25">
      <c r="A4" s="7" t="s">
        <v>21</v>
      </c>
      <c r="B4" s="3">
        <v>2969</v>
      </c>
      <c r="C4" s="1">
        <v>5099</v>
      </c>
      <c r="D4" s="1">
        <f t="shared" ref="D4:D34" si="1">C4/1.11</f>
        <v>4593.6936936936936</v>
      </c>
      <c r="E4" s="2">
        <f t="shared" si="0"/>
        <v>0.35367915277505391</v>
      </c>
      <c r="F4" s="3">
        <v>4600</v>
      </c>
    </row>
    <row r="5" spans="1:6" x14ac:dyDescent="0.25">
      <c r="A5" s="7" t="s">
        <v>24</v>
      </c>
      <c r="B5" s="3">
        <v>5037</v>
      </c>
      <c r="C5" s="1">
        <v>8599</v>
      </c>
      <c r="D5" s="1">
        <f t="shared" si="1"/>
        <v>7746.8468468468463</v>
      </c>
      <c r="E5" s="2">
        <f t="shared" si="0"/>
        <v>0.3497999767414815</v>
      </c>
      <c r="F5" s="3">
        <v>7500</v>
      </c>
    </row>
    <row r="6" spans="1:6" x14ac:dyDescent="0.25">
      <c r="A6" s="7" t="s">
        <v>26</v>
      </c>
      <c r="B6" s="3">
        <v>3941</v>
      </c>
      <c r="C6" s="3">
        <v>6699</v>
      </c>
      <c r="D6" s="1">
        <f t="shared" si="1"/>
        <v>6035.135135135135</v>
      </c>
      <c r="E6" s="2">
        <f t="shared" si="0"/>
        <v>0.34699059561128526</v>
      </c>
      <c r="F6" s="3">
        <v>5800</v>
      </c>
    </row>
    <row r="7" spans="1:6" x14ac:dyDescent="0.25">
      <c r="A7" s="7" t="s">
        <v>44</v>
      </c>
      <c r="B7" s="3">
        <v>5657</v>
      </c>
      <c r="C7" s="3">
        <v>9699</v>
      </c>
      <c r="D7" s="1">
        <f t="shared" si="1"/>
        <v>8737.8378378378366</v>
      </c>
      <c r="E7" s="2">
        <f t="shared" si="0"/>
        <v>0.35258583359109175</v>
      </c>
      <c r="F7" s="3">
        <v>8900</v>
      </c>
    </row>
    <row r="8" spans="1:6" x14ac:dyDescent="0.25">
      <c r="A8" s="7" t="s">
        <v>50</v>
      </c>
      <c r="B8" s="3">
        <v>5793</v>
      </c>
      <c r="C8" s="3">
        <v>9899</v>
      </c>
      <c r="D8" s="1">
        <f t="shared" si="1"/>
        <v>8918.0180180180178</v>
      </c>
      <c r="E8" s="2">
        <f t="shared" si="0"/>
        <v>0.35041620365693504</v>
      </c>
      <c r="F8" s="3">
        <v>8000</v>
      </c>
    </row>
    <row r="9" spans="1:6" x14ac:dyDescent="0.25">
      <c r="A9" s="7" t="s">
        <v>51</v>
      </c>
      <c r="B9" s="3">
        <v>3666</v>
      </c>
      <c r="C9" s="3">
        <v>6499</v>
      </c>
      <c r="D9" s="1">
        <f t="shared" si="1"/>
        <v>5854.9549549549547</v>
      </c>
      <c r="E9" s="2">
        <f t="shared" si="0"/>
        <v>0.37386367133405135</v>
      </c>
      <c r="F9" s="3">
        <v>5200</v>
      </c>
    </row>
    <row r="10" spans="1:6" x14ac:dyDescent="0.25">
      <c r="A10" s="7" t="s">
        <v>52</v>
      </c>
      <c r="B10" s="3">
        <v>3666</v>
      </c>
      <c r="C10" s="3">
        <v>6499</v>
      </c>
      <c r="D10" s="1">
        <f t="shared" si="1"/>
        <v>5854.9549549549547</v>
      </c>
      <c r="E10" s="2">
        <f t="shared" si="0"/>
        <v>0.37386367133405135</v>
      </c>
      <c r="F10" s="3">
        <v>5200</v>
      </c>
    </row>
    <row r="11" spans="1:6" x14ac:dyDescent="0.25">
      <c r="A11" s="7" t="s">
        <v>53</v>
      </c>
      <c r="B11" s="3">
        <v>5900</v>
      </c>
      <c r="C11" s="3">
        <v>9999</v>
      </c>
      <c r="D11" s="1">
        <f t="shared" si="1"/>
        <v>9008.1081081081065</v>
      </c>
      <c r="E11" s="2">
        <f t="shared" si="0"/>
        <v>0.34503450345034492</v>
      </c>
      <c r="F11" s="3">
        <v>5200</v>
      </c>
    </row>
    <row r="12" spans="1:6" x14ac:dyDescent="0.25">
      <c r="A12" s="7" t="s">
        <v>54</v>
      </c>
      <c r="B12" s="3">
        <v>2215</v>
      </c>
      <c r="C12" s="3">
        <v>4099</v>
      </c>
      <c r="D12" s="1">
        <f t="shared" si="1"/>
        <v>3692.7927927927926</v>
      </c>
      <c r="E12" s="2">
        <f t="shared" si="0"/>
        <v>0.40018297145645276</v>
      </c>
      <c r="F12" s="3">
        <v>3800</v>
      </c>
    </row>
    <row r="13" spans="1:6" x14ac:dyDescent="0.25">
      <c r="A13" s="7" t="s">
        <v>55</v>
      </c>
      <c r="B13" s="3">
        <v>3924</v>
      </c>
      <c r="C13" s="3">
        <v>6699</v>
      </c>
      <c r="D13" s="1">
        <f t="shared" si="1"/>
        <v>6035.135135135135</v>
      </c>
      <c r="E13" s="2">
        <f t="shared" si="0"/>
        <v>0.34980743394536495</v>
      </c>
      <c r="F13" s="11">
        <v>5700</v>
      </c>
    </row>
    <row r="14" spans="1:6" x14ac:dyDescent="0.25">
      <c r="A14" s="7" t="s">
        <v>56</v>
      </c>
      <c r="B14" s="3">
        <v>8860</v>
      </c>
      <c r="C14" s="3">
        <v>15099</v>
      </c>
      <c r="D14" s="1">
        <f t="shared" si="1"/>
        <v>13602.702702702702</v>
      </c>
      <c r="E14" s="2">
        <f t="shared" si="0"/>
        <v>0.34865885157957477</v>
      </c>
      <c r="F14" s="3">
        <v>13900</v>
      </c>
    </row>
    <row r="15" spans="1:6" x14ac:dyDescent="0.25">
      <c r="A15" s="7" t="s">
        <v>43</v>
      </c>
      <c r="B15" s="3">
        <v>5657</v>
      </c>
      <c r="C15" s="3">
        <v>9699</v>
      </c>
      <c r="D15" s="1">
        <f t="shared" si="1"/>
        <v>8737.8378378378366</v>
      </c>
      <c r="E15" s="2">
        <f t="shared" si="0"/>
        <v>0.35258583359109175</v>
      </c>
      <c r="F15" s="3">
        <v>8900</v>
      </c>
    </row>
    <row r="16" spans="1:6" x14ac:dyDescent="0.25">
      <c r="A16" s="7" t="s">
        <v>29</v>
      </c>
      <c r="B16" s="3">
        <v>5400</v>
      </c>
      <c r="C16" s="3">
        <v>9499</v>
      </c>
      <c r="D16" s="1">
        <f t="shared" si="1"/>
        <v>8557.6576576576572</v>
      </c>
      <c r="E16" s="2">
        <f t="shared" si="0"/>
        <v>0.36898620907463942</v>
      </c>
      <c r="F16" s="3">
        <v>8000</v>
      </c>
    </row>
    <row r="17" spans="1:6" x14ac:dyDescent="0.25">
      <c r="A17" s="7" t="s">
        <v>57</v>
      </c>
      <c r="B17" s="3">
        <v>4919</v>
      </c>
      <c r="C17" s="3">
        <v>8399</v>
      </c>
      <c r="D17" s="1">
        <f t="shared" si="1"/>
        <v>7566.6666666666661</v>
      </c>
      <c r="E17" s="2">
        <f t="shared" si="0"/>
        <v>0.34991189427312769</v>
      </c>
      <c r="F17" s="3">
        <v>7100</v>
      </c>
    </row>
    <row r="18" spans="1:6" x14ac:dyDescent="0.25">
      <c r="A18" s="7" t="s">
        <v>31</v>
      </c>
      <c r="B18" s="3">
        <v>2263</v>
      </c>
      <c r="C18" s="3">
        <v>3999</v>
      </c>
      <c r="D18" s="1">
        <f t="shared" si="1"/>
        <v>3602.7027027027025</v>
      </c>
      <c r="E18" s="2">
        <f t="shared" si="0"/>
        <v>0.37186046511627902</v>
      </c>
      <c r="F18" s="3">
        <v>3500</v>
      </c>
    </row>
    <row r="19" spans="1:6" x14ac:dyDescent="0.25">
      <c r="A19" s="7" t="s">
        <v>30</v>
      </c>
      <c r="B19" s="3">
        <v>2263</v>
      </c>
      <c r="C19" s="3">
        <v>3999</v>
      </c>
      <c r="D19" s="1">
        <f t="shared" si="1"/>
        <v>3602.7027027027025</v>
      </c>
      <c r="E19" s="2">
        <f t="shared" si="0"/>
        <v>0.37186046511627902</v>
      </c>
      <c r="F19" s="3">
        <v>3500</v>
      </c>
    </row>
    <row r="20" spans="1:6" x14ac:dyDescent="0.25">
      <c r="A20" s="7" t="s">
        <v>58</v>
      </c>
      <c r="B20" s="3">
        <v>4509</v>
      </c>
      <c r="C20" s="3">
        <v>7699</v>
      </c>
      <c r="D20" s="1">
        <f t="shared" si="1"/>
        <v>6936.0360360360355</v>
      </c>
      <c r="E20" s="2">
        <f t="shared" si="0"/>
        <v>0.3499168723210806</v>
      </c>
      <c r="F20" s="3">
        <v>6700</v>
      </c>
    </row>
    <row r="21" spans="1:6" x14ac:dyDescent="0.25">
      <c r="A21" s="7" t="s">
        <v>59</v>
      </c>
      <c r="B21" s="3">
        <v>4509</v>
      </c>
      <c r="C21" s="3">
        <v>7699</v>
      </c>
      <c r="D21" s="1">
        <f t="shared" si="1"/>
        <v>6936.0360360360355</v>
      </c>
      <c r="E21" s="2">
        <f t="shared" si="0"/>
        <v>0.3499168723210806</v>
      </c>
      <c r="F21" s="3">
        <v>6700</v>
      </c>
    </row>
    <row r="22" spans="1:6" x14ac:dyDescent="0.25">
      <c r="A22" s="7" t="s">
        <v>60</v>
      </c>
      <c r="B22" s="3">
        <v>4755</v>
      </c>
      <c r="C22" s="3">
        <v>8099</v>
      </c>
      <c r="D22" s="1">
        <f t="shared" si="1"/>
        <v>7296.3963963963961</v>
      </c>
      <c r="E22" s="2">
        <f t="shared" si="0"/>
        <v>0.34830843313989379</v>
      </c>
      <c r="F22" s="3">
        <v>7500</v>
      </c>
    </row>
    <row r="23" spans="1:6" x14ac:dyDescent="0.25">
      <c r="A23" s="7" t="s">
        <v>61</v>
      </c>
      <c r="B23" s="3">
        <v>5793</v>
      </c>
      <c r="C23" s="3">
        <v>9899</v>
      </c>
      <c r="D23" s="1">
        <f t="shared" si="1"/>
        <v>8918.0180180180178</v>
      </c>
      <c r="E23" s="2">
        <f t="shared" si="0"/>
        <v>0.35041620365693504</v>
      </c>
      <c r="F23" s="3">
        <v>8000</v>
      </c>
    </row>
    <row r="24" spans="1:6" x14ac:dyDescent="0.25">
      <c r="A24" s="7" t="s">
        <v>22</v>
      </c>
      <c r="B24" s="3">
        <v>2219</v>
      </c>
      <c r="C24" s="3">
        <v>4099</v>
      </c>
      <c r="D24" s="1">
        <f t="shared" si="1"/>
        <v>3692.7927927927926</v>
      </c>
      <c r="E24" s="2">
        <f t="shared" si="0"/>
        <v>0.3990997804342522</v>
      </c>
      <c r="F24" s="3">
        <v>3200</v>
      </c>
    </row>
    <row r="25" spans="1:6" x14ac:dyDescent="0.25">
      <c r="A25" s="7" t="s">
        <v>62</v>
      </c>
      <c r="B25" s="3">
        <v>7916</v>
      </c>
      <c r="C25" s="3">
        <v>13499</v>
      </c>
      <c r="D25" s="1">
        <f t="shared" si="1"/>
        <v>12161.261261261261</v>
      </c>
      <c r="E25" s="2">
        <f t="shared" si="0"/>
        <v>0.34908067264241793</v>
      </c>
      <c r="F25" s="11">
        <v>12000</v>
      </c>
    </row>
    <row r="26" spans="1:6" x14ac:dyDescent="0.25">
      <c r="A26" s="7" t="s">
        <v>63</v>
      </c>
      <c r="B26" s="3">
        <v>4505</v>
      </c>
      <c r="C26" s="3">
        <v>7999</v>
      </c>
      <c r="D26" s="1">
        <f t="shared" si="1"/>
        <v>7206.3063063063055</v>
      </c>
      <c r="E26" s="2">
        <f t="shared" si="0"/>
        <v>0.37485310663832971</v>
      </c>
      <c r="F26" s="3">
        <v>7500</v>
      </c>
    </row>
    <row r="27" spans="1:6" x14ac:dyDescent="0.25">
      <c r="A27" s="7" t="s">
        <v>64</v>
      </c>
      <c r="B27" s="3">
        <v>3153</v>
      </c>
      <c r="C27" s="3">
        <v>5499</v>
      </c>
      <c r="D27" s="1">
        <f t="shared" si="1"/>
        <v>4954.0540540540533</v>
      </c>
      <c r="E27" s="2">
        <f t="shared" si="0"/>
        <v>0.36355155482815049</v>
      </c>
      <c r="F27" s="3">
        <v>3900</v>
      </c>
    </row>
    <row r="28" spans="1:6" x14ac:dyDescent="0.25">
      <c r="A28" s="7" t="s">
        <v>42</v>
      </c>
      <c r="B28" s="3">
        <v>2623</v>
      </c>
      <c r="C28" s="3">
        <v>4499</v>
      </c>
      <c r="D28" s="1">
        <f t="shared" si="1"/>
        <v>4053.1531531531527</v>
      </c>
      <c r="E28" s="2">
        <f t="shared" si="0"/>
        <v>0.35284952211602572</v>
      </c>
      <c r="F28" s="3">
        <v>4000</v>
      </c>
    </row>
    <row r="29" spans="1:6" ht="16.5" customHeight="1" x14ac:dyDescent="0.25">
      <c r="A29" s="7" t="s">
        <v>65</v>
      </c>
      <c r="B29" s="3">
        <v>4509</v>
      </c>
      <c r="C29" s="3">
        <v>7699</v>
      </c>
      <c r="D29" s="1">
        <f t="shared" si="1"/>
        <v>6936.0360360360355</v>
      </c>
      <c r="E29" s="2">
        <f t="shared" si="0"/>
        <v>0.3499168723210806</v>
      </c>
      <c r="F29" s="3">
        <v>6700</v>
      </c>
    </row>
    <row r="30" spans="1:6" x14ac:dyDescent="0.25">
      <c r="A30" s="7" t="s">
        <v>38</v>
      </c>
      <c r="B30" s="3">
        <v>2647</v>
      </c>
      <c r="C30" s="3">
        <v>4499</v>
      </c>
      <c r="D30" s="1">
        <f t="shared" si="1"/>
        <v>4053.1531531531527</v>
      </c>
      <c r="E30" s="2">
        <f t="shared" si="0"/>
        <v>0.34692820626805948</v>
      </c>
      <c r="F30" s="3">
        <v>4100</v>
      </c>
    </row>
    <row r="31" spans="1:6" x14ac:dyDescent="0.25">
      <c r="A31" s="7" t="s">
        <v>66</v>
      </c>
      <c r="B31" s="3">
        <v>3378</v>
      </c>
      <c r="C31" s="3">
        <v>5799</v>
      </c>
      <c r="D31" s="1">
        <f t="shared" si="1"/>
        <v>5224.3243243243242</v>
      </c>
      <c r="E31" s="2">
        <f t="shared" si="0"/>
        <v>0.35340920848422142</v>
      </c>
      <c r="F31" s="3">
        <v>5000</v>
      </c>
    </row>
    <row r="32" spans="1:6" x14ac:dyDescent="0.25">
      <c r="A32" s="7" t="s">
        <v>67</v>
      </c>
      <c r="B32" s="3">
        <v>3378</v>
      </c>
      <c r="C32" s="3">
        <v>5799</v>
      </c>
      <c r="D32" s="1">
        <f t="shared" si="1"/>
        <v>5224.3243243243242</v>
      </c>
      <c r="E32" s="2">
        <f t="shared" si="0"/>
        <v>0.35340920848422142</v>
      </c>
      <c r="F32" s="3">
        <v>5000</v>
      </c>
    </row>
    <row r="33" spans="1:6" x14ac:dyDescent="0.25">
      <c r="A33" s="7" t="s">
        <v>68</v>
      </c>
      <c r="B33" s="3">
        <v>3378</v>
      </c>
      <c r="C33" s="3">
        <v>5799</v>
      </c>
      <c r="D33" s="3">
        <f t="shared" si="1"/>
        <v>5224.3243243243242</v>
      </c>
      <c r="E33" s="2">
        <f t="shared" si="0"/>
        <v>0.35340920848422142</v>
      </c>
      <c r="F33" s="3">
        <v>5000</v>
      </c>
    </row>
    <row r="34" spans="1:6" x14ac:dyDescent="0.25">
      <c r="A34" s="7" t="s">
        <v>69</v>
      </c>
      <c r="B34" s="3">
        <v>3378</v>
      </c>
      <c r="C34" s="3">
        <v>5799</v>
      </c>
      <c r="D34" s="3">
        <f t="shared" si="1"/>
        <v>5224.3243243243242</v>
      </c>
      <c r="E34" s="2">
        <f t="shared" si="0"/>
        <v>0.35340920848422142</v>
      </c>
      <c r="F34" s="3">
        <v>5000</v>
      </c>
    </row>
    <row r="35" spans="1:6" x14ac:dyDescent="0.25">
      <c r="A35" s="7" t="s">
        <v>17</v>
      </c>
      <c r="B35" s="3">
        <v>3378</v>
      </c>
      <c r="C35" s="3">
        <v>5799</v>
      </c>
      <c r="D35" s="3">
        <f t="shared" ref="D35:D66" si="2">C35/1.11</f>
        <v>5224.3243243243242</v>
      </c>
      <c r="E35" s="2">
        <f t="shared" ref="E35:E66" si="3">(D35-B35)/D35</f>
        <v>0.35340920848422142</v>
      </c>
      <c r="F35" s="3">
        <v>5000</v>
      </c>
    </row>
    <row r="36" spans="1:6" x14ac:dyDescent="0.25">
      <c r="A36" s="7" t="s">
        <v>70</v>
      </c>
      <c r="B36" s="3">
        <v>3378</v>
      </c>
      <c r="C36" s="3">
        <v>5799</v>
      </c>
      <c r="D36" s="3">
        <f t="shared" si="2"/>
        <v>5224.3243243243242</v>
      </c>
      <c r="E36" s="2">
        <f t="shared" si="3"/>
        <v>0.35340920848422142</v>
      </c>
      <c r="F36" s="3">
        <v>5000</v>
      </c>
    </row>
    <row r="37" spans="1:6" ht="14.25" customHeight="1" x14ac:dyDescent="0.25">
      <c r="A37" s="7" t="s">
        <v>71</v>
      </c>
      <c r="B37" s="3">
        <v>4662</v>
      </c>
      <c r="C37" s="3">
        <v>7999</v>
      </c>
      <c r="D37" s="3">
        <f t="shared" si="2"/>
        <v>7206.3063063063055</v>
      </c>
      <c r="E37" s="2">
        <f t="shared" si="3"/>
        <v>0.35306663332916605</v>
      </c>
      <c r="F37" s="3">
        <v>5800</v>
      </c>
    </row>
    <row r="38" spans="1:6" x14ac:dyDescent="0.25">
      <c r="A38" s="7" t="s">
        <v>72</v>
      </c>
      <c r="B38" s="3">
        <v>4662</v>
      </c>
      <c r="C38" s="3">
        <v>7999</v>
      </c>
      <c r="D38" s="3">
        <f t="shared" si="2"/>
        <v>7206.3063063063055</v>
      </c>
      <c r="E38" s="2">
        <f t="shared" si="3"/>
        <v>0.35306663332916605</v>
      </c>
      <c r="F38" s="3">
        <v>5800</v>
      </c>
    </row>
    <row r="39" spans="1:6" x14ac:dyDescent="0.25">
      <c r="A39" s="7" t="s">
        <v>39</v>
      </c>
      <c r="B39" s="3">
        <v>4504</v>
      </c>
      <c r="C39" s="3">
        <v>7699</v>
      </c>
      <c r="D39" s="3">
        <f t="shared" si="2"/>
        <v>6936.0360360360355</v>
      </c>
      <c r="E39" s="2">
        <f t="shared" si="3"/>
        <v>0.35063774516170926</v>
      </c>
      <c r="F39" s="3">
        <v>8900</v>
      </c>
    </row>
    <row r="40" spans="1:6" x14ac:dyDescent="0.25">
      <c r="A40" s="7" t="s">
        <v>73</v>
      </c>
      <c r="B40" s="3">
        <v>4505</v>
      </c>
      <c r="C40" s="3">
        <v>7999</v>
      </c>
      <c r="D40" s="3">
        <f t="shared" si="2"/>
        <v>7206.3063063063055</v>
      </c>
      <c r="E40" s="2">
        <f t="shared" si="3"/>
        <v>0.37485310663832971</v>
      </c>
      <c r="F40" s="3">
        <v>7500</v>
      </c>
    </row>
    <row r="41" spans="1:6" x14ac:dyDescent="0.25">
      <c r="A41" s="7" t="s">
        <v>74</v>
      </c>
      <c r="B41" s="3">
        <v>1919</v>
      </c>
      <c r="C41" s="3">
        <v>3299</v>
      </c>
      <c r="D41" s="3">
        <f t="shared" si="2"/>
        <v>2972.0720720720719</v>
      </c>
      <c r="E41" s="2">
        <f t="shared" si="3"/>
        <v>0.35432252197635644</v>
      </c>
      <c r="F41" s="11">
        <v>3000</v>
      </c>
    </row>
    <row r="42" spans="1:6" x14ac:dyDescent="0.25">
      <c r="A42" s="7" t="s">
        <v>75</v>
      </c>
      <c r="B42" s="3">
        <v>1919</v>
      </c>
      <c r="C42" s="3">
        <v>3299</v>
      </c>
      <c r="D42" s="3">
        <f t="shared" si="2"/>
        <v>2972.0720720720719</v>
      </c>
      <c r="E42" s="2">
        <f t="shared" si="3"/>
        <v>0.35432252197635644</v>
      </c>
      <c r="F42" s="11">
        <v>3000</v>
      </c>
    </row>
    <row r="43" spans="1:6" x14ac:dyDescent="0.25">
      <c r="A43" s="7" t="s">
        <v>76</v>
      </c>
      <c r="B43" s="3">
        <v>3108</v>
      </c>
      <c r="C43" s="3">
        <v>5299</v>
      </c>
      <c r="D43" s="3">
        <f t="shared" si="2"/>
        <v>4773.8738738738739</v>
      </c>
      <c r="E43" s="2">
        <f t="shared" si="3"/>
        <v>0.34895640686922064</v>
      </c>
      <c r="F43" s="3">
        <v>4700</v>
      </c>
    </row>
    <row r="44" spans="1:6" x14ac:dyDescent="0.25">
      <c r="A44" s="7" t="s">
        <v>77</v>
      </c>
      <c r="B44" s="3">
        <v>5000</v>
      </c>
      <c r="C44" s="3">
        <v>8499</v>
      </c>
      <c r="D44" s="3">
        <f t="shared" si="2"/>
        <v>7656.7567567567557</v>
      </c>
      <c r="E44" s="2">
        <f t="shared" si="3"/>
        <v>0.34698199788210371</v>
      </c>
      <c r="F44" s="11">
        <v>8000</v>
      </c>
    </row>
    <row r="45" spans="1:6" x14ac:dyDescent="0.25">
      <c r="A45" s="7" t="s">
        <v>78</v>
      </c>
      <c r="B45" s="3">
        <v>2973</v>
      </c>
      <c r="C45" s="3">
        <v>5499</v>
      </c>
      <c r="D45" s="3">
        <f t="shared" si="2"/>
        <v>4954.0540540540533</v>
      </c>
      <c r="E45" s="2">
        <f t="shared" si="3"/>
        <v>0.39988543371522084</v>
      </c>
      <c r="F45" s="11">
        <v>6000</v>
      </c>
    </row>
    <row r="46" spans="1:6" x14ac:dyDescent="0.25">
      <c r="A46" s="7" t="s">
        <v>79</v>
      </c>
      <c r="B46" s="3">
        <v>3666</v>
      </c>
      <c r="C46" s="3">
        <v>6499</v>
      </c>
      <c r="D46" s="3">
        <f t="shared" si="2"/>
        <v>5854.9549549549547</v>
      </c>
      <c r="E46" s="2">
        <f t="shared" si="3"/>
        <v>0.37386367133405135</v>
      </c>
      <c r="F46" s="3">
        <v>5200</v>
      </c>
    </row>
    <row r="47" spans="1:6" x14ac:dyDescent="0.25">
      <c r="A47" s="7" t="s">
        <v>80</v>
      </c>
      <c r="B47" s="3">
        <v>3666</v>
      </c>
      <c r="C47" s="3">
        <v>6499</v>
      </c>
      <c r="D47" s="3">
        <f t="shared" si="2"/>
        <v>5854.9549549549547</v>
      </c>
      <c r="E47" s="2">
        <f t="shared" si="3"/>
        <v>0.37386367133405135</v>
      </c>
      <c r="F47" s="3">
        <v>5200</v>
      </c>
    </row>
    <row r="48" spans="1:6" ht="14.25" customHeight="1" x14ac:dyDescent="0.25">
      <c r="A48" s="7" t="s">
        <v>81</v>
      </c>
      <c r="B48" s="3">
        <v>1641</v>
      </c>
      <c r="C48" s="3">
        <v>3599</v>
      </c>
      <c r="D48" s="3">
        <f t="shared" si="2"/>
        <v>3242.3423423423419</v>
      </c>
      <c r="E48" s="2">
        <f t="shared" si="3"/>
        <v>0.49388441233676017</v>
      </c>
      <c r="F48" s="3">
        <v>3300</v>
      </c>
    </row>
    <row r="49" spans="1:6" x14ac:dyDescent="0.25">
      <c r="A49" s="7" t="s">
        <v>82</v>
      </c>
      <c r="B49" s="3">
        <v>2273</v>
      </c>
      <c r="C49" s="3">
        <v>4099</v>
      </c>
      <c r="D49" s="3">
        <f t="shared" si="2"/>
        <v>3692.7927927927926</v>
      </c>
      <c r="E49" s="2">
        <f t="shared" si="3"/>
        <v>0.384476701634545</v>
      </c>
      <c r="F49" s="3">
        <v>5500</v>
      </c>
    </row>
    <row r="50" spans="1:6" x14ac:dyDescent="0.25">
      <c r="A50" s="7" t="s">
        <v>83</v>
      </c>
      <c r="B50" s="3">
        <v>6841</v>
      </c>
      <c r="C50" s="3">
        <v>11599</v>
      </c>
      <c r="D50" s="3">
        <f t="shared" si="2"/>
        <v>10449.549549549549</v>
      </c>
      <c r="E50" s="2">
        <f t="shared" si="3"/>
        <v>0.3453306319510302</v>
      </c>
      <c r="F50" s="11">
        <v>10999</v>
      </c>
    </row>
    <row r="51" spans="1:6" x14ac:dyDescent="0.25">
      <c r="A51" s="7" t="s">
        <v>84</v>
      </c>
      <c r="B51" s="3">
        <v>8559</v>
      </c>
      <c r="C51" s="3">
        <v>14599</v>
      </c>
      <c r="D51" s="3">
        <f t="shared" si="2"/>
        <v>13152.25225225225</v>
      </c>
      <c r="E51" s="2">
        <f t="shared" si="3"/>
        <v>0.34923693403657774</v>
      </c>
      <c r="F51" s="3">
        <v>10800</v>
      </c>
    </row>
    <row r="52" spans="1:6" x14ac:dyDescent="0.25">
      <c r="A52" s="7" t="s">
        <v>85</v>
      </c>
      <c r="B52" s="3">
        <v>3775</v>
      </c>
      <c r="C52" s="3">
        <v>6399</v>
      </c>
      <c r="D52" s="3">
        <f t="shared" si="2"/>
        <v>5764.8648648648641</v>
      </c>
      <c r="E52" s="2">
        <f t="shared" si="3"/>
        <v>0.34517112048757609</v>
      </c>
      <c r="F52" s="3">
        <v>6000</v>
      </c>
    </row>
    <row r="53" spans="1:6" x14ac:dyDescent="0.25">
      <c r="A53" s="7" t="s">
        <v>23</v>
      </c>
      <c r="B53" s="3">
        <v>5037</v>
      </c>
      <c r="C53" s="9">
        <v>8599</v>
      </c>
      <c r="D53" s="3">
        <f t="shared" si="2"/>
        <v>7746.8468468468463</v>
      </c>
      <c r="E53" s="4">
        <f t="shared" si="3"/>
        <v>0.3497999767414815</v>
      </c>
      <c r="F53" s="3">
        <v>7500</v>
      </c>
    </row>
    <row r="54" spans="1:6" x14ac:dyDescent="0.25">
      <c r="A54" s="7" t="s">
        <v>86</v>
      </c>
      <c r="B54" s="3">
        <v>1144</v>
      </c>
      <c r="C54" s="3">
        <v>2499</v>
      </c>
      <c r="D54" s="3">
        <f t="shared" si="2"/>
        <v>2251.3513513513512</v>
      </c>
      <c r="E54" s="4">
        <f t="shared" si="3"/>
        <v>0.49186074429771909</v>
      </c>
      <c r="F54" s="3">
        <v>2000</v>
      </c>
    </row>
    <row r="55" spans="1:6" x14ac:dyDescent="0.25">
      <c r="A55" s="7" t="s">
        <v>33</v>
      </c>
      <c r="B55" s="3">
        <v>5475</v>
      </c>
      <c r="C55" s="3">
        <v>9499</v>
      </c>
      <c r="D55" s="3">
        <f t="shared" si="2"/>
        <v>8557.6576576576572</v>
      </c>
      <c r="E55" s="4">
        <f t="shared" si="3"/>
        <v>0.36022212864512049</v>
      </c>
      <c r="F55" s="3">
        <v>9000</v>
      </c>
    </row>
    <row r="56" spans="1:6" x14ac:dyDescent="0.25">
      <c r="A56" s="7" t="s">
        <v>34</v>
      </c>
      <c r="B56" s="3">
        <v>5475</v>
      </c>
      <c r="C56" s="3">
        <v>9499</v>
      </c>
      <c r="D56" s="3">
        <f t="shared" si="2"/>
        <v>8557.6576576576572</v>
      </c>
      <c r="E56" s="4">
        <f t="shared" si="3"/>
        <v>0.36022212864512049</v>
      </c>
      <c r="F56" s="3">
        <v>9000</v>
      </c>
    </row>
    <row r="57" spans="1:6" x14ac:dyDescent="0.25">
      <c r="A57" s="7" t="s">
        <v>87</v>
      </c>
      <c r="B57" s="3">
        <v>5245</v>
      </c>
      <c r="C57" s="3">
        <v>9099</v>
      </c>
      <c r="D57" s="3">
        <f t="shared" si="2"/>
        <v>8197.2972972972966</v>
      </c>
      <c r="E57" s="4">
        <f t="shared" si="3"/>
        <v>0.36015496208374542</v>
      </c>
      <c r="F57" s="11">
        <v>7500</v>
      </c>
    </row>
    <row r="58" spans="1:6" x14ac:dyDescent="0.25">
      <c r="A58" s="7" t="s">
        <v>88</v>
      </c>
      <c r="B58" s="3">
        <v>2838</v>
      </c>
      <c r="C58" s="3">
        <v>4899</v>
      </c>
      <c r="D58" s="3">
        <f t="shared" si="2"/>
        <v>4413.5135135135133</v>
      </c>
      <c r="E58" s="4">
        <f t="shared" si="3"/>
        <v>0.35697489283527245</v>
      </c>
      <c r="F58" s="3">
        <v>4200</v>
      </c>
    </row>
    <row r="59" spans="1:6" x14ac:dyDescent="0.25">
      <c r="A59" s="7" t="s">
        <v>89</v>
      </c>
      <c r="B59" s="3">
        <v>2949</v>
      </c>
      <c r="C59" s="3">
        <v>4999</v>
      </c>
      <c r="D59" s="3">
        <f t="shared" si="2"/>
        <v>4503.603603603603</v>
      </c>
      <c r="E59" s="4">
        <f t="shared" si="3"/>
        <v>0.34519103820764147</v>
      </c>
      <c r="F59" s="3">
        <v>5700</v>
      </c>
    </row>
    <row r="60" spans="1:6" x14ac:dyDescent="0.25">
      <c r="A60" s="7" t="s">
        <v>90</v>
      </c>
      <c r="B60" s="3">
        <v>2949</v>
      </c>
      <c r="C60" s="3">
        <v>4999</v>
      </c>
      <c r="D60" s="3">
        <f t="shared" si="2"/>
        <v>4503.603603603603</v>
      </c>
      <c r="E60" s="4">
        <f t="shared" si="3"/>
        <v>0.34519103820764147</v>
      </c>
      <c r="F60" s="3">
        <v>5700</v>
      </c>
    </row>
    <row r="61" spans="1:6" x14ac:dyDescent="0.25">
      <c r="A61" s="7" t="s">
        <v>91</v>
      </c>
      <c r="B61" s="3">
        <v>3775</v>
      </c>
      <c r="C61" s="3">
        <v>6399</v>
      </c>
      <c r="D61" s="3">
        <f t="shared" si="2"/>
        <v>5764.8648648648641</v>
      </c>
      <c r="E61" s="4">
        <f t="shared" si="3"/>
        <v>0.34517112048757609</v>
      </c>
      <c r="F61" s="3">
        <v>6000</v>
      </c>
    </row>
    <row r="62" spans="1:6" x14ac:dyDescent="0.25">
      <c r="A62" s="7" t="s">
        <v>41</v>
      </c>
      <c r="B62" s="3">
        <v>4563</v>
      </c>
      <c r="C62" s="3">
        <v>7799</v>
      </c>
      <c r="D62" s="3">
        <f t="shared" si="2"/>
        <v>7026.1261261261252</v>
      </c>
      <c r="E62" s="4">
        <f t="shared" si="3"/>
        <v>0.35056673932555449</v>
      </c>
      <c r="F62" s="3">
        <v>6900</v>
      </c>
    </row>
    <row r="63" spans="1:6" x14ac:dyDescent="0.25">
      <c r="A63" s="7" t="s">
        <v>92</v>
      </c>
      <c r="B63" s="3">
        <v>2641</v>
      </c>
      <c r="C63" s="3">
        <v>5099</v>
      </c>
      <c r="D63" s="3">
        <f t="shared" si="2"/>
        <v>4593.6936936936936</v>
      </c>
      <c r="E63" s="4">
        <f t="shared" si="3"/>
        <v>0.42508138850755051</v>
      </c>
      <c r="F63" s="3">
        <v>3500</v>
      </c>
    </row>
    <row r="64" spans="1:6" x14ac:dyDescent="0.25">
      <c r="A64" s="7" t="s">
        <v>93</v>
      </c>
      <c r="B64" s="3">
        <v>3924</v>
      </c>
      <c r="C64" s="3">
        <v>6699</v>
      </c>
      <c r="D64" s="3">
        <f t="shared" si="2"/>
        <v>6035.135135135135</v>
      </c>
      <c r="E64" s="4">
        <f t="shared" si="3"/>
        <v>0.34980743394536495</v>
      </c>
      <c r="F64" s="11">
        <v>6000</v>
      </c>
    </row>
    <row r="65" spans="1:6" x14ac:dyDescent="0.25">
      <c r="A65" s="7" t="s">
        <v>94</v>
      </c>
      <c r="B65" s="3">
        <v>5980</v>
      </c>
      <c r="C65" s="3">
        <v>10199</v>
      </c>
      <c r="D65" s="3">
        <f t="shared" si="2"/>
        <v>9188.2882882882877</v>
      </c>
      <c r="E65" s="4">
        <f t="shared" si="3"/>
        <v>0.34917148740072551</v>
      </c>
      <c r="F65" s="3">
        <v>9500</v>
      </c>
    </row>
    <row r="66" spans="1:6" x14ac:dyDescent="0.25">
      <c r="A66" s="7" t="s">
        <v>95</v>
      </c>
      <c r="B66" s="3">
        <v>3924</v>
      </c>
      <c r="C66" s="3">
        <v>6699</v>
      </c>
      <c r="D66" s="3">
        <f t="shared" si="2"/>
        <v>6035.135135135135</v>
      </c>
      <c r="E66" s="4">
        <f t="shared" si="3"/>
        <v>0.34980743394536495</v>
      </c>
      <c r="F66" s="3">
        <v>5600</v>
      </c>
    </row>
    <row r="67" spans="1:6" x14ac:dyDescent="0.25">
      <c r="A67" s="7" t="s">
        <v>25</v>
      </c>
      <c r="B67" s="3">
        <v>2290</v>
      </c>
      <c r="C67" s="3">
        <v>4099</v>
      </c>
      <c r="D67" s="3">
        <f t="shared" ref="D67:D98" si="4">C67/1.11</f>
        <v>3692.7927927927926</v>
      </c>
      <c r="E67" s="4">
        <f t="shared" ref="E67:E98" si="5">(D67-B67)/D67</f>
        <v>0.37987313979019272</v>
      </c>
      <c r="F67" s="11">
        <v>4500</v>
      </c>
    </row>
    <row r="68" spans="1:6" x14ac:dyDescent="0.25">
      <c r="A68" s="7" t="s">
        <v>96</v>
      </c>
      <c r="B68" s="3">
        <v>5980</v>
      </c>
      <c r="C68" s="3">
        <v>10199</v>
      </c>
      <c r="D68" s="3">
        <f t="shared" si="4"/>
        <v>9188.2882882882877</v>
      </c>
      <c r="E68" s="4">
        <f t="shared" si="5"/>
        <v>0.34917148740072551</v>
      </c>
      <c r="F68" s="3">
        <v>9500</v>
      </c>
    </row>
    <row r="69" spans="1:6" x14ac:dyDescent="0.25">
      <c r="A69" s="7" t="s">
        <v>97</v>
      </c>
      <c r="B69" s="3">
        <v>3924</v>
      </c>
      <c r="C69" s="3">
        <v>6699</v>
      </c>
      <c r="D69" s="3">
        <f t="shared" si="4"/>
        <v>6035.135135135135</v>
      </c>
      <c r="E69" s="4">
        <f t="shared" si="5"/>
        <v>0.34980743394536495</v>
      </c>
      <c r="F69" s="3">
        <v>7000</v>
      </c>
    </row>
    <row r="70" spans="1:6" x14ac:dyDescent="0.25">
      <c r="A70" s="7" t="s">
        <v>98</v>
      </c>
      <c r="B70" s="3">
        <v>3041</v>
      </c>
      <c r="C70" s="3">
        <v>5199</v>
      </c>
      <c r="D70" s="3">
        <f t="shared" si="4"/>
        <v>4683.7837837837833</v>
      </c>
      <c r="E70" s="4">
        <f t="shared" si="5"/>
        <v>0.350738603577611</v>
      </c>
      <c r="F70" s="3">
        <v>5000</v>
      </c>
    </row>
    <row r="71" spans="1:6" x14ac:dyDescent="0.25">
      <c r="A71" s="7" t="s">
        <v>99</v>
      </c>
      <c r="B71" s="3">
        <v>2949</v>
      </c>
      <c r="C71" s="3">
        <v>4999</v>
      </c>
      <c r="D71" s="3">
        <f t="shared" si="4"/>
        <v>4503.603603603603</v>
      </c>
      <c r="E71" s="4">
        <f t="shared" si="5"/>
        <v>0.34519103820764147</v>
      </c>
      <c r="F71" s="3">
        <v>5700</v>
      </c>
    </row>
    <row r="72" spans="1:6" x14ac:dyDescent="0.25">
      <c r="A72" s="7" t="s">
        <v>100</v>
      </c>
      <c r="B72" s="3">
        <v>3924</v>
      </c>
      <c r="C72" s="3">
        <v>6699</v>
      </c>
      <c r="D72" s="3">
        <f t="shared" si="4"/>
        <v>6035.135135135135</v>
      </c>
      <c r="E72" s="4">
        <f t="shared" si="5"/>
        <v>0.34980743394536495</v>
      </c>
      <c r="F72" s="3">
        <v>5600</v>
      </c>
    </row>
    <row r="73" spans="1:6" x14ac:dyDescent="0.25">
      <c r="A73" s="7" t="s">
        <v>37</v>
      </c>
      <c r="B73" s="3">
        <v>3924</v>
      </c>
      <c r="C73" s="3">
        <v>6699</v>
      </c>
      <c r="D73" s="3">
        <f t="shared" si="4"/>
        <v>6035.135135135135</v>
      </c>
      <c r="E73" s="4">
        <f t="shared" si="5"/>
        <v>0.34980743394536495</v>
      </c>
      <c r="F73" s="3">
        <v>5600</v>
      </c>
    </row>
    <row r="74" spans="1:6" x14ac:dyDescent="0.25">
      <c r="A74" s="7" t="s">
        <v>101</v>
      </c>
      <c r="B74" s="3">
        <v>7916.2162162162167</v>
      </c>
      <c r="C74" s="3">
        <v>13499</v>
      </c>
      <c r="D74" s="3">
        <f t="shared" si="4"/>
        <v>12161.261261261261</v>
      </c>
      <c r="E74" s="4">
        <f t="shared" si="5"/>
        <v>0.34906289354767017</v>
      </c>
      <c r="F74" s="11">
        <v>10400</v>
      </c>
    </row>
    <row r="75" spans="1:6" x14ac:dyDescent="0.25">
      <c r="A75" s="7" t="s">
        <v>102</v>
      </c>
      <c r="B75" s="3">
        <v>4563.0630630630631</v>
      </c>
      <c r="C75" s="3">
        <v>7799</v>
      </c>
      <c r="D75" s="3">
        <f t="shared" si="4"/>
        <v>7026.1261261261252</v>
      </c>
      <c r="E75" s="4">
        <f t="shared" si="5"/>
        <v>0.35055776381587372</v>
      </c>
      <c r="F75" s="3">
        <v>6900</v>
      </c>
    </row>
    <row r="76" spans="1:6" x14ac:dyDescent="0.25">
      <c r="A76" s="7" t="s">
        <v>40</v>
      </c>
      <c r="B76" s="3">
        <v>4563.0630630630631</v>
      </c>
      <c r="C76" s="3">
        <v>7799</v>
      </c>
      <c r="D76" s="3">
        <f t="shared" si="4"/>
        <v>7026.1261261261252</v>
      </c>
      <c r="E76" s="4">
        <f t="shared" si="5"/>
        <v>0.35055776381587372</v>
      </c>
      <c r="F76" s="3">
        <v>6900</v>
      </c>
    </row>
    <row r="77" spans="1:6" x14ac:dyDescent="0.25">
      <c r="A77" s="7" t="s">
        <v>27</v>
      </c>
      <c r="B77" s="3">
        <v>2252.2522522522522</v>
      </c>
      <c r="C77" s="3">
        <v>4099</v>
      </c>
      <c r="D77" s="3">
        <f t="shared" si="4"/>
        <v>3692.7927927927926</v>
      </c>
      <c r="E77" s="4">
        <f t="shared" si="5"/>
        <v>0.39009514515735544</v>
      </c>
      <c r="F77" s="3">
        <v>3500</v>
      </c>
    </row>
    <row r="78" spans="1:6" x14ac:dyDescent="0.25">
      <c r="A78" s="7" t="s">
        <v>103</v>
      </c>
      <c r="B78" s="3">
        <v>7105.4054054054059</v>
      </c>
      <c r="C78" s="3">
        <v>12099</v>
      </c>
      <c r="D78" s="3">
        <f t="shared" si="4"/>
        <v>10899.999999999998</v>
      </c>
      <c r="E78" s="4">
        <f t="shared" si="5"/>
        <v>0.34812794445821954</v>
      </c>
      <c r="F78" s="3">
        <v>9500</v>
      </c>
    </row>
    <row r="79" spans="1:6" x14ac:dyDescent="0.25">
      <c r="A79" s="7" t="s">
        <v>104</v>
      </c>
      <c r="B79" s="3">
        <v>7105.4054054054059</v>
      </c>
      <c r="C79" s="3">
        <v>12099</v>
      </c>
      <c r="D79" s="3">
        <f t="shared" si="4"/>
        <v>10899.999999999998</v>
      </c>
      <c r="E79" s="4">
        <f t="shared" si="5"/>
        <v>0.34812794445821954</v>
      </c>
      <c r="F79" s="3">
        <v>9500</v>
      </c>
    </row>
    <row r="80" spans="1:6" x14ac:dyDescent="0.25">
      <c r="A80" s="7" t="s">
        <v>105</v>
      </c>
      <c r="B80" s="3">
        <v>7105.4054054054059</v>
      </c>
      <c r="C80" s="3">
        <v>12099</v>
      </c>
      <c r="D80" s="3">
        <f t="shared" si="4"/>
        <v>10899.999999999998</v>
      </c>
      <c r="E80" s="4">
        <f t="shared" si="5"/>
        <v>0.34812794445821954</v>
      </c>
      <c r="F80" s="3">
        <v>9500</v>
      </c>
    </row>
    <row r="81" spans="1:6" x14ac:dyDescent="0.25">
      <c r="A81" s="7" t="s">
        <v>106</v>
      </c>
      <c r="B81" s="3">
        <v>4864.864864864865</v>
      </c>
      <c r="C81" s="3">
        <v>8299</v>
      </c>
      <c r="D81" s="3">
        <f t="shared" si="4"/>
        <v>7476.5765765765764</v>
      </c>
      <c r="E81" s="4">
        <f t="shared" si="5"/>
        <v>0.34931919508374498</v>
      </c>
      <c r="F81" s="3">
        <v>7100</v>
      </c>
    </row>
    <row r="82" spans="1:6" x14ac:dyDescent="0.25">
      <c r="A82" s="7" t="s">
        <v>107</v>
      </c>
      <c r="B82" s="3">
        <v>6050.4504504504503</v>
      </c>
      <c r="C82" s="3">
        <v>10399</v>
      </c>
      <c r="D82" s="3">
        <f t="shared" si="4"/>
        <v>9368.4684684684671</v>
      </c>
      <c r="E82" s="4">
        <f t="shared" si="5"/>
        <v>0.3541686700644292</v>
      </c>
      <c r="F82" s="3">
        <v>9900</v>
      </c>
    </row>
    <row r="83" spans="1:6" x14ac:dyDescent="0.25">
      <c r="A83" s="7" t="s">
        <v>108</v>
      </c>
      <c r="B83" s="3">
        <v>7547.7477477477478</v>
      </c>
      <c r="C83" s="3">
        <v>12799</v>
      </c>
      <c r="D83" s="3">
        <f t="shared" si="4"/>
        <v>11530.630630630629</v>
      </c>
      <c r="E83" s="4">
        <f t="shared" si="5"/>
        <v>0.34541761075083982</v>
      </c>
      <c r="F83" s="3">
        <v>10000</v>
      </c>
    </row>
    <row r="84" spans="1:6" x14ac:dyDescent="0.25">
      <c r="A84" s="7" t="s">
        <v>36</v>
      </c>
      <c r="B84" s="3">
        <v>7120.7207207207211</v>
      </c>
      <c r="C84" s="3">
        <v>12099</v>
      </c>
      <c r="D84" s="3">
        <f t="shared" si="4"/>
        <v>10899.999999999998</v>
      </c>
      <c r="E84" s="4">
        <f t="shared" si="5"/>
        <v>0.34672286965864935</v>
      </c>
      <c r="F84" s="3">
        <v>10500</v>
      </c>
    </row>
    <row r="85" spans="1:6" x14ac:dyDescent="0.25">
      <c r="A85" s="7" t="s">
        <v>109</v>
      </c>
      <c r="B85" s="3">
        <v>3590.9909909909911</v>
      </c>
      <c r="C85" s="3">
        <v>6099</v>
      </c>
      <c r="D85" s="3">
        <f t="shared" si="4"/>
        <v>5494.5945945945941</v>
      </c>
      <c r="E85" s="4">
        <f t="shared" si="5"/>
        <v>0.34645023774389239</v>
      </c>
      <c r="F85" s="3">
        <v>5500</v>
      </c>
    </row>
    <row r="86" spans="1:6" x14ac:dyDescent="0.25">
      <c r="A86" s="7" t="s">
        <v>110</v>
      </c>
      <c r="B86" s="3">
        <v>12700</v>
      </c>
      <c r="C86" s="3">
        <v>21599</v>
      </c>
      <c r="D86" s="3">
        <f t="shared" si="4"/>
        <v>19458.558558558558</v>
      </c>
      <c r="E86" s="4">
        <f t="shared" si="5"/>
        <v>0.34733089494884017</v>
      </c>
      <c r="F86" s="11">
        <v>21550</v>
      </c>
    </row>
    <row r="87" spans="1:6" x14ac:dyDescent="0.25">
      <c r="A87" s="7" t="s">
        <v>111</v>
      </c>
      <c r="B87" s="3">
        <v>2140</v>
      </c>
      <c r="C87" s="3">
        <v>4099</v>
      </c>
      <c r="D87" s="3">
        <f t="shared" si="4"/>
        <v>3692.7927927927926</v>
      </c>
      <c r="E87" s="4">
        <f t="shared" si="5"/>
        <v>0.42049280312271281</v>
      </c>
      <c r="F87" s="3">
        <v>3300</v>
      </c>
    </row>
    <row r="88" spans="1:6" x14ac:dyDescent="0.25">
      <c r="A88" s="7" t="s">
        <v>112</v>
      </c>
      <c r="B88" s="3">
        <v>3218</v>
      </c>
      <c r="C88" s="3">
        <v>5599</v>
      </c>
      <c r="D88" s="3">
        <f t="shared" si="4"/>
        <v>5044.1441441441439</v>
      </c>
      <c r="E88" s="4">
        <f t="shared" si="5"/>
        <v>0.36203250580460794</v>
      </c>
      <c r="F88" s="3">
        <v>5400</v>
      </c>
    </row>
    <row r="89" spans="1:6" x14ac:dyDescent="0.25">
      <c r="A89" s="7" t="s">
        <v>113</v>
      </c>
      <c r="B89" s="3">
        <v>4754.9549549549547</v>
      </c>
      <c r="C89" s="3">
        <v>8099</v>
      </c>
      <c r="D89" s="3">
        <f t="shared" si="4"/>
        <v>7296.3963963963961</v>
      </c>
      <c r="E89" s="4">
        <f t="shared" si="5"/>
        <v>0.34831460674157305</v>
      </c>
      <c r="F89" s="3">
        <v>7500</v>
      </c>
    </row>
    <row r="90" spans="1:6" x14ac:dyDescent="0.25">
      <c r="A90" s="7" t="s">
        <v>114</v>
      </c>
      <c r="B90" s="3">
        <v>4754.9549549549547</v>
      </c>
      <c r="C90" s="3">
        <v>8099</v>
      </c>
      <c r="D90" s="3">
        <f t="shared" si="4"/>
        <v>7296.3963963963961</v>
      </c>
      <c r="E90" s="4">
        <f t="shared" si="5"/>
        <v>0.34831460674157305</v>
      </c>
      <c r="F90" s="3">
        <v>7500</v>
      </c>
    </row>
    <row r="91" spans="1:6" x14ac:dyDescent="0.25">
      <c r="A91" s="7" t="s">
        <v>115</v>
      </c>
      <c r="B91" s="3">
        <v>4754.9549549549547</v>
      </c>
      <c r="C91" s="3">
        <v>8099</v>
      </c>
      <c r="D91" s="3">
        <f t="shared" si="4"/>
        <v>7296.3963963963961</v>
      </c>
      <c r="E91" s="4">
        <f t="shared" si="5"/>
        <v>0.34831460674157305</v>
      </c>
      <c r="F91" s="3">
        <v>7500</v>
      </c>
    </row>
    <row r="92" spans="1:6" x14ac:dyDescent="0.25">
      <c r="A92" s="7" t="s">
        <v>116</v>
      </c>
      <c r="B92" s="3">
        <v>4509.0090090090089</v>
      </c>
      <c r="C92" s="3">
        <v>7699</v>
      </c>
      <c r="D92" s="3">
        <f t="shared" si="4"/>
        <v>6936.0360360360355</v>
      </c>
      <c r="E92" s="4">
        <f t="shared" si="5"/>
        <v>0.34991557345109753</v>
      </c>
      <c r="F92" s="3">
        <v>6700</v>
      </c>
    </row>
    <row r="93" spans="1:6" x14ac:dyDescent="0.25">
      <c r="A93" s="7" t="s">
        <v>117</v>
      </c>
      <c r="B93" s="3">
        <v>2214.4144144144143</v>
      </c>
      <c r="C93" s="3">
        <v>4099</v>
      </c>
      <c r="D93" s="3">
        <f t="shared" si="4"/>
        <v>3692.7927927927926</v>
      </c>
      <c r="E93" s="4">
        <f t="shared" si="5"/>
        <v>0.40034154671871186</v>
      </c>
      <c r="F93" s="3">
        <v>3900</v>
      </c>
    </row>
    <row r="94" spans="1:6" x14ac:dyDescent="0.25">
      <c r="A94" s="7" t="s">
        <v>118</v>
      </c>
      <c r="B94" s="3">
        <v>8860.3603603603606</v>
      </c>
      <c r="C94" s="3">
        <v>15099</v>
      </c>
      <c r="D94" s="3">
        <f t="shared" si="4"/>
        <v>13602.702702702702</v>
      </c>
      <c r="E94" s="4">
        <f t="shared" si="5"/>
        <v>0.34863235975892437</v>
      </c>
      <c r="F94" s="3">
        <v>13900</v>
      </c>
    </row>
    <row r="95" spans="1:6" ht="15" customHeight="1" x14ac:dyDescent="0.25">
      <c r="A95" s="7" t="s">
        <v>119</v>
      </c>
      <c r="B95" s="3">
        <v>5045.0450450450453</v>
      </c>
      <c r="C95" s="3">
        <v>8599</v>
      </c>
      <c r="D95" s="3">
        <f t="shared" si="4"/>
        <v>7746.8468468468463</v>
      </c>
      <c r="E95" s="4">
        <f t="shared" si="5"/>
        <v>0.34876148389347589</v>
      </c>
      <c r="F95" s="11">
        <v>8000</v>
      </c>
    </row>
    <row r="96" spans="1:6" x14ac:dyDescent="0.25">
      <c r="A96" s="7" t="s">
        <v>35</v>
      </c>
      <c r="B96" s="3">
        <v>1486.4864864864865</v>
      </c>
      <c r="C96" s="3">
        <v>3099</v>
      </c>
      <c r="D96" s="3">
        <f t="shared" si="4"/>
        <v>2791.8918918918916</v>
      </c>
      <c r="E96" s="4">
        <f t="shared" si="5"/>
        <v>0.46757018393030009</v>
      </c>
      <c r="F96" s="11">
        <v>2800</v>
      </c>
    </row>
    <row r="97" spans="1:6" x14ac:dyDescent="0.25">
      <c r="A97" s="7" t="s">
        <v>32</v>
      </c>
      <c r="B97" s="3">
        <v>10200.900900900901</v>
      </c>
      <c r="C97" s="3">
        <v>17299</v>
      </c>
      <c r="D97" s="3">
        <f t="shared" si="4"/>
        <v>15584.684684684684</v>
      </c>
      <c r="E97" s="4">
        <f t="shared" si="5"/>
        <v>0.34545349442164286</v>
      </c>
      <c r="F97" s="3">
        <v>14300</v>
      </c>
    </row>
    <row r="98" spans="1:6" x14ac:dyDescent="0.25">
      <c r="A98" s="7" t="s">
        <v>120</v>
      </c>
      <c r="B98" s="3">
        <v>2252.2522522522522</v>
      </c>
      <c r="C98" s="3">
        <v>4099</v>
      </c>
      <c r="D98" s="3">
        <f t="shared" si="4"/>
        <v>3692.7927927927926</v>
      </c>
      <c r="E98" s="4">
        <f t="shared" si="5"/>
        <v>0.39009514515735544</v>
      </c>
      <c r="F98" s="3">
        <v>3800</v>
      </c>
    </row>
    <row r="99" spans="1:6" x14ac:dyDescent="0.25">
      <c r="A99" s="7" t="s">
        <v>121</v>
      </c>
      <c r="B99" s="3">
        <v>1561.2612612612613</v>
      </c>
      <c r="C99" s="3">
        <v>3099</v>
      </c>
      <c r="D99" s="3">
        <f t="shared" ref="D99:D130" si="6">C99/1.11</f>
        <v>2791.8918918918916</v>
      </c>
      <c r="E99" s="4">
        <f t="shared" ref="E99:E106" si="7">(D99-B99)/D99</f>
        <v>0.44078735075830905</v>
      </c>
      <c r="F99" s="11">
        <v>2900</v>
      </c>
    </row>
    <row r="100" spans="1:6" x14ac:dyDescent="0.25">
      <c r="A100" s="7" t="s">
        <v>122</v>
      </c>
      <c r="B100" s="3">
        <v>7743.2432432432433</v>
      </c>
      <c r="C100" s="5">
        <v>13199</v>
      </c>
      <c r="D100" s="3">
        <f t="shared" si="6"/>
        <v>11890.990990990989</v>
      </c>
      <c r="E100" s="4">
        <f t="shared" si="7"/>
        <v>0.34881430411394793</v>
      </c>
      <c r="F100" s="3">
        <v>12000</v>
      </c>
    </row>
    <row r="101" spans="1:6" x14ac:dyDescent="0.25">
      <c r="A101" s="7" t="s">
        <v>28</v>
      </c>
      <c r="B101" s="3">
        <v>5400</v>
      </c>
      <c r="C101" s="5">
        <v>9199</v>
      </c>
      <c r="D101" s="3">
        <f t="shared" si="6"/>
        <v>8287.3873873873872</v>
      </c>
      <c r="E101" s="4">
        <f t="shared" si="7"/>
        <v>0.3484074355908251</v>
      </c>
      <c r="F101" s="3">
        <v>8000</v>
      </c>
    </row>
    <row r="102" spans="1:6" x14ac:dyDescent="0.25">
      <c r="A102" s="7" t="s">
        <v>123</v>
      </c>
      <c r="B102" s="3">
        <v>6760.3603603603606</v>
      </c>
      <c r="C102" s="5">
        <v>11499</v>
      </c>
      <c r="D102" s="3">
        <f t="shared" si="6"/>
        <v>10359.459459459458</v>
      </c>
      <c r="E102" s="4">
        <f t="shared" si="7"/>
        <v>0.34742151491434026</v>
      </c>
      <c r="F102" s="3">
        <v>8900</v>
      </c>
    </row>
    <row r="103" spans="1:6" x14ac:dyDescent="0.25">
      <c r="A103" s="7" t="s">
        <v>124</v>
      </c>
      <c r="B103" s="3">
        <v>1801.8018018018017</v>
      </c>
      <c r="C103" s="5">
        <v>3099</v>
      </c>
      <c r="D103" s="3">
        <f t="shared" si="6"/>
        <v>2791.8918918918916</v>
      </c>
      <c r="E103" s="4">
        <f t="shared" si="7"/>
        <v>0.35463052597612132</v>
      </c>
      <c r="F103" s="11">
        <v>2700</v>
      </c>
    </row>
    <row r="104" spans="1:6" x14ac:dyDescent="0.25">
      <c r="A104" s="7" t="s">
        <v>125</v>
      </c>
      <c r="B104" s="3">
        <v>1486.4864864864865</v>
      </c>
      <c r="C104" s="5">
        <v>2599</v>
      </c>
      <c r="D104" s="3">
        <f t="shared" si="6"/>
        <v>2341.4414414414414</v>
      </c>
      <c r="E104" s="4">
        <f t="shared" si="7"/>
        <v>0.36514043863024243</v>
      </c>
      <c r="F104" s="11">
        <v>2200</v>
      </c>
    </row>
    <row r="105" spans="1:6" x14ac:dyDescent="0.25">
      <c r="A105" s="7" t="s">
        <v>126</v>
      </c>
      <c r="B105" s="3">
        <v>7639.6396396396394</v>
      </c>
      <c r="C105" s="5">
        <v>13099</v>
      </c>
      <c r="D105" s="3">
        <f t="shared" si="6"/>
        <v>11800.900900900901</v>
      </c>
      <c r="E105" s="4">
        <f t="shared" si="7"/>
        <v>0.35262233758302158</v>
      </c>
      <c r="F105" s="11">
        <v>9865</v>
      </c>
    </row>
    <row r="106" spans="1:6" x14ac:dyDescent="0.25">
      <c r="A106" s="7" t="s">
        <v>127</v>
      </c>
      <c r="B106" s="3">
        <v>2103.6036036036035</v>
      </c>
      <c r="C106" s="5">
        <v>3599</v>
      </c>
      <c r="D106" s="3">
        <f t="shared" si="6"/>
        <v>3242.3423423423419</v>
      </c>
      <c r="E106" s="4">
        <f t="shared" si="7"/>
        <v>0.35120866907474296</v>
      </c>
      <c r="F106" s="3">
        <v>3200</v>
      </c>
    </row>
    <row r="107" spans="1:6" x14ac:dyDescent="0.25">
      <c r="A107" s="7" t="s">
        <v>128</v>
      </c>
      <c r="B107" s="3">
        <v>1</v>
      </c>
      <c r="C107" s="5">
        <v>1</v>
      </c>
      <c r="D107" s="3">
        <f t="shared" si="6"/>
        <v>0.9009009009009008</v>
      </c>
      <c r="E107" s="4" t="s">
        <v>4</v>
      </c>
      <c r="F107" s="3">
        <v>0</v>
      </c>
    </row>
    <row r="108" spans="1:6" x14ac:dyDescent="0.25">
      <c r="A108" s="7" t="s">
        <v>129</v>
      </c>
      <c r="B108" s="3">
        <v>3153.1531531531532</v>
      </c>
      <c r="C108" s="5">
        <v>5499</v>
      </c>
      <c r="D108" s="3">
        <f t="shared" si="6"/>
        <v>4954.0540540540533</v>
      </c>
      <c r="E108" s="4">
        <f t="shared" ref="E108:E144" si="8">(D108-B108)/D108</f>
        <v>0.36352064011638469</v>
      </c>
      <c r="F108" s="3">
        <v>3900</v>
      </c>
    </row>
    <row r="109" spans="1:6" x14ac:dyDescent="0.25">
      <c r="A109" s="7" t="s">
        <v>6</v>
      </c>
      <c r="B109" s="3">
        <v>4431.531531531532</v>
      </c>
      <c r="C109" s="5">
        <v>7599</v>
      </c>
      <c r="D109" s="3">
        <f t="shared" si="6"/>
        <v>6845.9459459459449</v>
      </c>
      <c r="E109" s="4">
        <f t="shared" si="8"/>
        <v>0.35267798394525579</v>
      </c>
      <c r="F109" s="11">
        <v>6900</v>
      </c>
    </row>
    <row r="110" spans="1:6" x14ac:dyDescent="0.25">
      <c r="A110" s="7" t="s">
        <v>5</v>
      </c>
      <c r="B110" s="3">
        <v>6532.4324324324325</v>
      </c>
      <c r="C110" s="5">
        <v>11099</v>
      </c>
      <c r="D110" s="3">
        <f t="shared" si="6"/>
        <v>9999.0990990990977</v>
      </c>
      <c r="E110" s="4">
        <f t="shared" si="8"/>
        <v>0.34669790071177575</v>
      </c>
      <c r="F110" s="11">
        <v>10450</v>
      </c>
    </row>
    <row r="111" spans="1:6" x14ac:dyDescent="0.25">
      <c r="A111" s="7" t="s">
        <v>7</v>
      </c>
      <c r="B111" s="3">
        <v>4358.5585585585586</v>
      </c>
      <c r="C111" s="3">
        <v>7499</v>
      </c>
      <c r="D111" s="3">
        <f t="shared" si="6"/>
        <v>6755.8558558558552</v>
      </c>
      <c r="E111" s="4">
        <f t="shared" si="8"/>
        <v>0.35484731297506328</v>
      </c>
      <c r="F111" s="3">
        <v>6200</v>
      </c>
    </row>
    <row r="112" spans="1:6" x14ac:dyDescent="0.25">
      <c r="A112" s="7" t="s">
        <v>8</v>
      </c>
      <c r="B112" s="3">
        <v>4358.5585585585586</v>
      </c>
      <c r="C112" s="3">
        <v>7499</v>
      </c>
      <c r="D112" s="3">
        <f t="shared" si="6"/>
        <v>6755.8558558558552</v>
      </c>
      <c r="E112" s="4">
        <f t="shared" si="8"/>
        <v>0.35484731297506328</v>
      </c>
      <c r="F112" s="11">
        <v>7000</v>
      </c>
    </row>
    <row r="113" spans="1:6" x14ac:dyDescent="0.25">
      <c r="A113" s="7" t="s">
        <v>130</v>
      </c>
      <c r="B113" s="3">
        <v>4358.5585585585586</v>
      </c>
      <c r="C113" s="3">
        <v>7499</v>
      </c>
      <c r="D113" s="3">
        <f t="shared" si="6"/>
        <v>6755.8558558558552</v>
      </c>
      <c r="E113" s="4">
        <f t="shared" si="8"/>
        <v>0.35484731297506328</v>
      </c>
      <c r="F113" s="3">
        <v>6200</v>
      </c>
    </row>
    <row r="114" spans="1:6" x14ac:dyDescent="0.25">
      <c r="A114" s="7" t="s">
        <v>10</v>
      </c>
      <c r="B114" s="3">
        <v>2218.9189189189187</v>
      </c>
      <c r="C114" s="3">
        <v>4099</v>
      </c>
      <c r="D114" s="3">
        <f t="shared" si="6"/>
        <v>3692.7927927927926</v>
      </c>
      <c r="E114" s="4">
        <f t="shared" si="8"/>
        <v>0.39912173700902659</v>
      </c>
      <c r="F114" s="3">
        <v>3200</v>
      </c>
    </row>
    <row r="115" spans="1:6" x14ac:dyDescent="0.25">
      <c r="A115" s="7" t="s">
        <v>9</v>
      </c>
      <c r="B115" s="3">
        <v>2139</v>
      </c>
      <c r="C115" s="3">
        <v>4099</v>
      </c>
      <c r="D115" s="3">
        <f t="shared" si="6"/>
        <v>3692.7927927927926</v>
      </c>
      <c r="E115" s="4">
        <f t="shared" si="8"/>
        <v>0.42076360087826298</v>
      </c>
      <c r="F115" s="3">
        <v>3300</v>
      </c>
    </row>
    <row r="116" spans="1:6" x14ac:dyDescent="0.25">
      <c r="A116" s="7" t="s">
        <v>131</v>
      </c>
      <c r="B116" s="3">
        <v>1561</v>
      </c>
      <c r="C116" s="3">
        <v>3099</v>
      </c>
      <c r="D116" s="3">
        <f t="shared" si="6"/>
        <v>2791.8918918918916</v>
      </c>
      <c r="E116" s="4">
        <f t="shared" si="8"/>
        <v>0.44088092933204254</v>
      </c>
      <c r="F116" s="11">
        <v>2900</v>
      </c>
    </row>
    <row r="117" spans="1:6" x14ac:dyDescent="0.25">
      <c r="A117" s="7" t="s">
        <v>11</v>
      </c>
      <c r="B117" s="3">
        <v>5045</v>
      </c>
      <c r="C117" s="3">
        <v>8599</v>
      </c>
      <c r="D117" s="3">
        <f t="shared" si="6"/>
        <v>7746.8468468468463</v>
      </c>
      <c r="E117" s="4">
        <f t="shared" si="8"/>
        <v>0.34876729852308402</v>
      </c>
      <c r="F117" s="3">
        <v>8900</v>
      </c>
    </row>
    <row r="118" spans="1:6" x14ac:dyDescent="0.25">
      <c r="A118" s="7" t="s">
        <v>12</v>
      </c>
      <c r="B118" s="3">
        <v>5045</v>
      </c>
      <c r="C118" s="3">
        <v>8599</v>
      </c>
      <c r="D118" s="3">
        <f t="shared" si="6"/>
        <v>7746.8468468468463</v>
      </c>
      <c r="E118" s="4">
        <f t="shared" si="8"/>
        <v>0.34876729852308402</v>
      </c>
      <c r="F118" s="3">
        <v>8900</v>
      </c>
    </row>
    <row r="119" spans="1:6" x14ac:dyDescent="0.25">
      <c r="A119" s="7" t="s">
        <v>132</v>
      </c>
      <c r="B119" s="3">
        <v>2269</v>
      </c>
      <c r="C119" s="3">
        <v>6099</v>
      </c>
      <c r="D119" s="3">
        <f t="shared" si="6"/>
        <v>5494.5945945945941</v>
      </c>
      <c r="E119" s="4">
        <f t="shared" si="8"/>
        <v>0.58704869650762415</v>
      </c>
      <c r="F119" s="11">
        <v>6000</v>
      </c>
    </row>
    <row r="120" spans="1:6" x14ac:dyDescent="0.25">
      <c r="A120" s="7" t="s">
        <v>133</v>
      </c>
      <c r="B120" s="3">
        <v>5954</v>
      </c>
      <c r="C120" s="3">
        <v>10099</v>
      </c>
      <c r="D120" s="3">
        <f t="shared" si="6"/>
        <v>9098.1981981981971</v>
      </c>
      <c r="E120" s="4">
        <f t="shared" si="8"/>
        <v>0.34558471135756008</v>
      </c>
      <c r="F120" s="3">
        <v>8900</v>
      </c>
    </row>
    <row r="121" spans="1:6" x14ac:dyDescent="0.25">
      <c r="A121" s="7" t="s">
        <v>134</v>
      </c>
      <c r="B121" s="3">
        <v>5954</v>
      </c>
      <c r="C121" s="3">
        <v>10099</v>
      </c>
      <c r="D121" s="3">
        <f t="shared" si="6"/>
        <v>9098.1981981981971</v>
      </c>
      <c r="E121" s="4">
        <f t="shared" si="8"/>
        <v>0.34558471135756008</v>
      </c>
      <c r="F121" s="3">
        <v>8900</v>
      </c>
    </row>
    <row r="122" spans="1:6" x14ac:dyDescent="0.25">
      <c r="A122" s="7" t="s">
        <v>135</v>
      </c>
      <c r="B122" s="3">
        <v>12700</v>
      </c>
      <c r="C122" s="3">
        <v>21599</v>
      </c>
      <c r="D122" s="3">
        <f t="shared" si="6"/>
        <v>19458.558558558558</v>
      </c>
      <c r="E122" s="4">
        <f t="shared" si="8"/>
        <v>0.34733089494884017</v>
      </c>
      <c r="F122" s="11">
        <v>20000</v>
      </c>
    </row>
    <row r="123" spans="1:6" x14ac:dyDescent="0.25">
      <c r="A123" s="7" t="s">
        <v>15</v>
      </c>
      <c r="B123" s="3">
        <v>5294</v>
      </c>
      <c r="C123" s="3">
        <v>8999</v>
      </c>
      <c r="D123" s="3">
        <f t="shared" si="6"/>
        <v>8107.2072072072069</v>
      </c>
      <c r="E123" s="4">
        <f t="shared" si="8"/>
        <v>0.34700077786420713</v>
      </c>
      <c r="F123" s="3">
        <v>7200</v>
      </c>
    </row>
    <row r="124" spans="1:6" x14ac:dyDescent="0.25">
      <c r="A124" s="7" t="s">
        <v>13</v>
      </c>
      <c r="B124" s="3">
        <v>6757</v>
      </c>
      <c r="C124" s="3">
        <v>11499</v>
      </c>
      <c r="D124" s="3">
        <f t="shared" si="6"/>
        <v>10359.459459459458</v>
      </c>
      <c r="E124" s="4">
        <f t="shared" si="8"/>
        <v>0.34774589094703878</v>
      </c>
      <c r="F124" s="3">
        <v>9700</v>
      </c>
    </row>
    <row r="125" spans="1:6" x14ac:dyDescent="0.25">
      <c r="A125" s="7" t="s">
        <v>14</v>
      </c>
      <c r="B125" s="3">
        <v>6757</v>
      </c>
      <c r="C125" s="3">
        <v>11499</v>
      </c>
      <c r="D125" s="3">
        <f t="shared" si="6"/>
        <v>10359.459459459458</v>
      </c>
      <c r="E125" s="4">
        <f t="shared" si="8"/>
        <v>0.34774589094703878</v>
      </c>
      <c r="F125" s="3">
        <v>9700</v>
      </c>
    </row>
    <row r="126" spans="1:6" x14ac:dyDescent="0.25">
      <c r="A126" s="7" t="s">
        <v>136</v>
      </c>
      <c r="B126" s="3">
        <v>5954</v>
      </c>
      <c r="C126" s="3">
        <v>10199</v>
      </c>
      <c r="D126" s="3">
        <f t="shared" si="6"/>
        <v>9188.2882882882877</v>
      </c>
      <c r="E126" s="4">
        <f t="shared" si="8"/>
        <v>0.35200117658593977</v>
      </c>
      <c r="F126" s="3">
        <v>8900</v>
      </c>
    </row>
    <row r="127" spans="1:6" x14ac:dyDescent="0.25">
      <c r="A127" s="7" t="s">
        <v>16</v>
      </c>
      <c r="B127" s="3">
        <v>4505</v>
      </c>
      <c r="C127" s="3">
        <v>7699</v>
      </c>
      <c r="D127" s="3">
        <f t="shared" si="6"/>
        <v>6936.0360360360355</v>
      </c>
      <c r="E127" s="4">
        <f t="shared" si="8"/>
        <v>0.35049357059358355</v>
      </c>
      <c r="F127" s="3">
        <v>7900</v>
      </c>
    </row>
    <row r="128" spans="1:6" x14ac:dyDescent="0.25">
      <c r="A128" s="7" t="s">
        <v>137</v>
      </c>
      <c r="B128" s="3">
        <v>1561</v>
      </c>
      <c r="C128" s="3">
        <v>3099</v>
      </c>
      <c r="D128" s="3">
        <f t="shared" si="6"/>
        <v>2791.8918918918916</v>
      </c>
      <c r="E128" s="4">
        <f t="shared" si="8"/>
        <v>0.44088092933204254</v>
      </c>
      <c r="F128" s="11">
        <v>2900</v>
      </c>
    </row>
    <row r="129" spans="1:6" x14ac:dyDescent="0.25">
      <c r="A129" s="7" t="s">
        <v>18</v>
      </c>
      <c r="B129" s="3">
        <v>7207</v>
      </c>
      <c r="C129" s="3">
        <v>12399</v>
      </c>
      <c r="D129" s="3">
        <f t="shared" si="6"/>
        <v>11170.27027027027</v>
      </c>
      <c r="E129" s="4">
        <f t="shared" si="8"/>
        <v>0.3548052262279216</v>
      </c>
      <c r="F129" s="11">
        <v>11500</v>
      </c>
    </row>
    <row r="130" spans="1:6" x14ac:dyDescent="0.25">
      <c r="A130" s="7" t="s">
        <v>138</v>
      </c>
      <c r="B130" s="3">
        <v>5946</v>
      </c>
      <c r="C130" s="3">
        <v>10099</v>
      </c>
      <c r="D130" s="3">
        <f t="shared" si="6"/>
        <v>9098.1981981981971</v>
      </c>
      <c r="E130" s="4">
        <f t="shared" si="8"/>
        <v>0.34646400633726104</v>
      </c>
      <c r="F130" s="3">
        <v>8500</v>
      </c>
    </row>
    <row r="131" spans="1:6" x14ac:dyDescent="0.25">
      <c r="A131" s="7" t="s">
        <v>19</v>
      </c>
      <c r="B131" s="3">
        <v>3924</v>
      </c>
      <c r="C131" s="3">
        <v>6699</v>
      </c>
      <c r="D131" s="3">
        <f t="shared" ref="D131:D144" si="9">C131/1.11</f>
        <v>6035.135135135135</v>
      </c>
      <c r="E131" s="4">
        <f t="shared" si="8"/>
        <v>0.34980743394536495</v>
      </c>
      <c r="F131" s="11">
        <v>6200</v>
      </c>
    </row>
    <row r="132" spans="1:6" x14ac:dyDescent="0.25">
      <c r="A132" s="7" t="s">
        <v>139</v>
      </c>
      <c r="B132" s="3">
        <v>3847.7477477477478</v>
      </c>
      <c r="C132" s="3">
        <v>6599</v>
      </c>
      <c r="D132" s="3">
        <f t="shared" si="9"/>
        <v>5945.0450450450444</v>
      </c>
      <c r="E132" s="4">
        <f t="shared" si="8"/>
        <v>0.3527807243521745</v>
      </c>
      <c r="F132" s="3">
        <v>5500</v>
      </c>
    </row>
    <row r="133" spans="1:6" x14ac:dyDescent="0.25">
      <c r="A133" s="7" t="s">
        <v>20</v>
      </c>
      <c r="B133" s="3">
        <v>3847.7477477477478</v>
      </c>
      <c r="C133" s="3">
        <v>6599</v>
      </c>
      <c r="D133" s="3">
        <f t="shared" si="9"/>
        <v>5945.0450450450444</v>
      </c>
      <c r="E133" s="4">
        <f t="shared" si="8"/>
        <v>0.3527807243521745</v>
      </c>
      <c r="F133" s="3">
        <v>5500</v>
      </c>
    </row>
    <row r="134" spans="1:6" x14ac:dyDescent="0.25">
      <c r="A134" s="7" t="s">
        <v>140</v>
      </c>
      <c r="B134" s="3">
        <v>3774.7747747747749</v>
      </c>
      <c r="C134" s="3">
        <v>6499</v>
      </c>
      <c r="D134" s="3">
        <f t="shared" si="9"/>
        <v>5854.9549549549547</v>
      </c>
      <c r="E134" s="4">
        <f t="shared" si="8"/>
        <v>0.3552854285274657</v>
      </c>
      <c r="F134" s="3">
        <v>5700</v>
      </c>
    </row>
    <row r="135" spans="1:6" x14ac:dyDescent="0.25">
      <c r="A135" s="7" t="s">
        <v>141</v>
      </c>
      <c r="B135" s="3">
        <v>3924.3243243243246</v>
      </c>
      <c r="C135" s="3">
        <v>6699</v>
      </c>
      <c r="D135" s="3">
        <f t="shared" si="9"/>
        <v>6035.135135135135</v>
      </c>
      <c r="E135" s="4">
        <f t="shared" si="8"/>
        <v>0.34975369458128075</v>
      </c>
      <c r="F135" s="3">
        <v>5600</v>
      </c>
    </row>
    <row r="136" spans="1:6" x14ac:dyDescent="0.25">
      <c r="A136" s="7" t="s">
        <v>45</v>
      </c>
      <c r="B136" s="3">
        <v>1531.5315315315315</v>
      </c>
      <c r="C136" s="3">
        <v>3499</v>
      </c>
      <c r="D136" s="3">
        <f t="shared" si="9"/>
        <v>3152.2522522522518</v>
      </c>
      <c r="E136" s="4">
        <f t="shared" si="8"/>
        <v>0.51414689911403255</v>
      </c>
      <c r="F136" s="11">
        <v>2500</v>
      </c>
    </row>
    <row r="137" spans="1:6" x14ac:dyDescent="0.25">
      <c r="A137" s="7" t="s">
        <v>142</v>
      </c>
      <c r="B137" s="3">
        <v>5900</v>
      </c>
      <c r="C137" s="3">
        <v>9999</v>
      </c>
      <c r="D137" s="3">
        <f t="shared" si="9"/>
        <v>9008.1081081081065</v>
      </c>
      <c r="E137" s="4">
        <f t="shared" si="8"/>
        <v>0.34503450345034492</v>
      </c>
      <c r="F137" s="3">
        <v>7500</v>
      </c>
    </row>
    <row r="138" spans="1:6" x14ac:dyDescent="0.25">
      <c r="A138" s="7" t="s">
        <v>143</v>
      </c>
      <c r="B138" s="3">
        <v>5526.1261261261261</v>
      </c>
      <c r="C138" s="3">
        <v>9499</v>
      </c>
      <c r="D138" s="3">
        <f t="shared" si="9"/>
        <v>8557.6576576576572</v>
      </c>
      <c r="E138" s="4">
        <f t="shared" si="8"/>
        <v>0.35424781555953255</v>
      </c>
      <c r="F138" s="3">
        <v>7500</v>
      </c>
    </row>
    <row r="139" spans="1:6" x14ac:dyDescent="0.25">
      <c r="A139" s="7" t="s">
        <v>144</v>
      </c>
      <c r="B139" s="3">
        <v>1295.4954954954956</v>
      </c>
      <c r="C139" s="3">
        <v>2999</v>
      </c>
      <c r="D139" s="3">
        <f t="shared" si="9"/>
        <v>2701.8018018018015</v>
      </c>
      <c r="E139" s="4">
        <f t="shared" si="8"/>
        <v>0.5205068356118705</v>
      </c>
      <c r="F139" s="11">
        <v>2400</v>
      </c>
    </row>
    <row r="140" spans="1:6" x14ac:dyDescent="0.25">
      <c r="A140" s="7" t="s">
        <v>46</v>
      </c>
      <c r="B140" s="3">
        <v>4550.4504504504503</v>
      </c>
      <c r="C140" s="3">
        <v>7799</v>
      </c>
      <c r="D140" s="3">
        <f t="shared" si="9"/>
        <v>7026.1261261261252</v>
      </c>
      <c r="E140" s="4">
        <f t="shared" si="8"/>
        <v>0.35235286575201941</v>
      </c>
      <c r="F140" s="3">
        <v>6800</v>
      </c>
    </row>
    <row r="141" spans="1:6" x14ac:dyDescent="0.25">
      <c r="A141" s="7" t="s">
        <v>47</v>
      </c>
      <c r="B141" s="3">
        <v>6760.3603603603606</v>
      </c>
      <c r="C141" s="3">
        <v>11499</v>
      </c>
      <c r="D141" s="3">
        <f t="shared" si="9"/>
        <v>10359.459459459458</v>
      </c>
      <c r="E141" s="4">
        <f t="shared" si="8"/>
        <v>0.34742151491434026</v>
      </c>
      <c r="F141" s="3">
        <v>8900</v>
      </c>
    </row>
    <row r="142" spans="1:6" x14ac:dyDescent="0.25">
      <c r="A142" s="7" t="s">
        <v>48</v>
      </c>
      <c r="B142" s="3">
        <v>4600</v>
      </c>
      <c r="C142" s="3">
        <v>7999</v>
      </c>
      <c r="D142" s="3">
        <f t="shared" si="9"/>
        <v>7206.3063063063055</v>
      </c>
      <c r="E142" s="4">
        <f t="shared" si="8"/>
        <v>0.36167020877609696</v>
      </c>
      <c r="F142" s="3">
        <v>7100</v>
      </c>
    </row>
    <row r="143" spans="1:6" x14ac:dyDescent="0.25">
      <c r="A143" s="7" t="s">
        <v>145</v>
      </c>
      <c r="B143" s="3">
        <v>5405</v>
      </c>
      <c r="C143" s="3">
        <v>9299</v>
      </c>
      <c r="D143" s="3">
        <f t="shared" si="9"/>
        <v>8377.477477477476</v>
      </c>
      <c r="E143" s="4">
        <f t="shared" si="8"/>
        <v>0.35481772233573489</v>
      </c>
      <c r="F143" s="11">
        <v>10000</v>
      </c>
    </row>
    <row r="144" spans="1:6" x14ac:dyDescent="0.25">
      <c r="A144" s="7" t="s">
        <v>146</v>
      </c>
      <c r="B144" s="3">
        <v>5200</v>
      </c>
      <c r="C144" s="3">
        <v>8899</v>
      </c>
      <c r="D144" s="3">
        <f t="shared" si="9"/>
        <v>8017.1171171171163</v>
      </c>
      <c r="E144" s="4">
        <f t="shared" si="8"/>
        <v>0.35138779638161582</v>
      </c>
      <c r="F144" s="3">
        <v>8000</v>
      </c>
    </row>
    <row r="145" spans="1:6" x14ac:dyDescent="0.25">
      <c r="B145" s="10"/>
      <c r="C145" s="10"/>
      <c r="D145" s="10"/>
      <c r="E145" s="10"/>
      <c r="F145" s="10"/>
    </row>
    <row r="146" spans="1:6" x14ac:dyDescent="0.25">
      <c r="A146" s="12" t="s">
        <v>152</v>
      </c>
    </row>
    <row r="147" spans="1:6" x14ac:dyDescent="0.25">
      <c r="A147" s="13"/>
    </row>
    <row r="148" spans="1:6" x14ac:dyDescent="0.25">
      <c r="A148" s="12" t="s">
        <v>153</v>
      </c>
    </row>
  </sheetData>
  <autoFilter ref="A1:E144" xr:uid="{00000000-0009-0000-0000-000001000000}">
    <filterColumn colId="2" showButton="0"/>
    <filterColumn colId="3" showButton="0"/>
  </autoFilter>
  <mergeCells count="4">
    <mergeCell ref="F1:F2"/>
    <mergeCell ref="C1:E1"/>
    <mergeCell ref="A1:A2"/>
    <mergeCell ref="B1:B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UPDATE HARGA TERBARU FOR 2026</vt:lpstr>
      <vt:lpstr>Sheet1</vt:lpstr>
      <vt:lpstr>Sheet2</vt:lpstr>
      <vt:lpstr>Setting Harga Produk</vt:lpstr>
      <vt:lpstr>'UPDATE HARGA TERBARU FOR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2023-09-14T03:33:42Z</cp:lastPrinted>
  <dcterms:created xsi:type="dcterms:W3CDTF">2022-01-10T06:21:56Z</dcterms:created>
  <dcterms:modified xsi:type="dcterms:W3CDTF">2026-07-23T10:46:22Z</dcterms:modified>
</cp:coreProperties>
</file>